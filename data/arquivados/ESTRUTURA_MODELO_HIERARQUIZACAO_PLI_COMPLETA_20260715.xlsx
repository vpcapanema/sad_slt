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IOS\sistema_apoio_a_tomada_de_decisao_web\data\"/>
    </mc:Choice>
  </mc:AlternateContent>
  <xr:revisionPtr revIDLastSave="0" documentId="13_ncr:1_{737155C5-BCA3-41A9-A722-1AD2AC7B5067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Etapa 1" sheetId="1" r:id="rId1"/>
    <sheet name="Etapa 2" sheetId="2" r:id="rId2"/>
    <sheet name="Etapa 3" sheetId="3" r:id="rId3"/>
    <sheet name="Síntese" sheetId="4" r:id="rId4"/>
    <sheet name="Rastreabilidade 20260624" sheetId="5" r:id="rId5"/>
    <sheet name="Origem - Dimensões" sheetId="6" r:id="rId6"/>
    <sheet name="Origem - Critérios" sheetId="7" r:id="rId7"/>
    <sheet name="Origem - Matriz 20260624" sheetId="8" r:id="rId8"/>
    <sheet name="Origem - Matriz Projetos" sheetId="9" r:id="rId9"/>
  </sheets>
  <definedNames>
    <definedName name="_xlnm._FilterDatabase" localSheetId="0" hidden="1">'Etapa 1'!$A$1:$W$45</definedName>
    <definedName name="_xlnm._FilterDatabase" localSheetId="1" hidden="1">'Etapa 2'!$A$1:$W$48</definedName>
    <definedName name="_xlnm._FilterDatabase" localSheetId="2" hidden="1">'Etapa 3'!$A$1:$W$18</definedName>
    <definedName name="_xlnm._FilterDatabase" localSheetId="8" hidden="1">'Origem - Matriz Projetos'!$A$1:$H$56</definedName>
    <definedName name="_xlnm._FilterDatabase" localSheetId="4" hidden="1">'Rastreabilidade 20260624'!$A$1:$F$66</definedName>
    <definedName name="_xlnm._FilterDatabase" localSheetId="3" hidden="1">Síntese!$A$1:$L$87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10" i="7" s="1"/>
  <c r="A11" i="7" s="1"/>
  <c r="A12" i="7" s="1"/>
  <c r="A13" i="7" s="1"/>
  <c r="A14" i="7" s="1"/>
  <c r="A15" i="7" s="1"/>
  <c r="A16" i="7" s="1"/>
  <c r="A17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</calcChain>
</file>

<file path=xl/sharedStrings.xml><?xml version="1.0" encoding="utf-8"?>
<sst xmlns="http://schemas.openxmlformats.org/spreadsheetml/2006/main" count="3562" uniqueCount="799">
  <si>
    <t>Código</t>
  </si>
  <si>
    <t>Etapa</t>
  </si>
  <si>
    <t>Subetapa</t>
  </si>
  <si>
    <t>Dimensão</t>
  </si>
  <si>
    <t>Critério</t>
  </si>
  <si>
    <t>Premissa</t>
  </si>
  <si>
    <t>Variável</t>
  </si>
  <si>
    <t>Relação com o escopo</t>
  </si>
  <si>
    <t>Dado-fonte</t>
  </si>
  <si>
    <t>Dado derivado</t>
  </si>
  <si>
    <t>Unidade de medida / métrica</t>
  </si>
  <si>
    <t>Fonte</t>
  </si>
  <si>
    <t>Observações</t>
  </si>
  <si>
    <t>Dimensão na matriz 20260624</t>
  </si>
  <si>
    <t>Critério na matriz 20260624</t>
  </si>
  <si>
    <t>Premissa na matriz 20260624</t>
  </si>
  <si>
    <t>Relação na matriz 20260624</t>
  </si>
  <si>
    <t>Métricas na matriz 20260624</t>
  </si>
  <si>
    <t>Fonte na matriz 20260624</t>
  </si>
  <si>
    <t>Mandatório</t>
  </si>
  <si>
    <t>Origem do dado</t>
  </si>
  <si>
    <t>Linha de origem 20260624</t>
  </si>
  <si>
    <t>Regra de integração</t>
  </si>
  <si>
    <t>1</t>
  </si>
  <si>
    <t>Etapa 1</t>
  </si>
  <si>
    <t>Filtro locacional e regulatório. Prevalece sobre as demais etapas quando houver impedimento, condicionante forte ou ressalva territorial.</t>
  </si>
  <si>
    <t>1.1</t>
  </si>
  <si>
    <t>Restrição</t>
  </si>
  <si>
    <t>Critérios impeditivos: se atendidos, o projeto é barrado.</t>
  </si>
  <si>
    <t>1.1.1</t>
  </si>
  <si>
    <t>Ambiental</t>
  </si>
  <si>
    <t>Agrupa restrições ambientais e locacionais com potencial de barrar a implantação.</t>
  </si>
  <si>
    <t>1.1.1.1</t>
  </si>
  <si>
    <t>Menor complexidade licenciatória para implantação</t>
  </si>
  <si>
    <t>Projetos com licenciamento mais simples apresentam menor risco de execução.</t>
  </si>
  <si>
    <t>Prazo estimado e número de etapas do licenciamento ambiental</t>
  </si>
  <si>
    <t>negativa</t>
  </si>
  <si>
    <t>Complexidade do licenciamento ambiental. A complexidade e o prazo do licenciamento ambiental podem atrasar ou inviabilizar a obra.</t>
  </si>
  <si>
    <t>grau e prazo do licenciamento</t>
  </si>
  <si>
    <t>índice/grau por célula de 100x100 m</t>
  </si>
  <si>
    <t>https://conama.mma.gov.br/?option=com_sisconama&amp;task=arquivo.download&amp;id=237</t>
  </si>
  <si>
    <t>Classificação de origem: atributo de projeto; Mandatório: Não</t>
  </si>
  <si>
    <t>Complexidade do licenciamento ambiental</t>
  </si>
  <si>
    <t>A complexidade e o prazo do licenciamento ambiental podem atrasar ou inviabilizar a obra. Projetos com licenciamento mais simples apresentam menor risco de execução.</t>
  </si>
  <si>
    <t>↓ Negativa</t>
  </si>
  <si>
    <t>Não</t>
  </si>
  <si>
    <t>Correspondência semântica direta pelo critério/dado-fonte</t>
  </si>
  <si>
    <t>1.1.1.2</t>
  </si>
  <si>
    <t>Unidade de Conservacao de Protecao Integral (Federal)</t>
  </si>
  <si>
    <t>O SNUC admite apenas uso indireto dos recursos naturais nessas UCs, sujeitando obras ao ato de criacao, ao plano de manejo e a fortes restricoes locacionais.</t>
  </si>
  <si>
    <t>Presença de incidência direta de unidade de conservacao de protecao integral sobre o projeto</t>
  </si>
  <si>
    <t>Buscar camada federal de UCs de protecao integral com incidencia em Sao Paulo.</t>
  </si>
  <si>
    <t>Presença ou ausência de incidência direta sobre o projeto.</t>
  </si>
  <si>
    <t>presença/ausência</t>
  </si>
  <si>
    <t>https://datageo.ambiente.sp.gov.br/serviceTranslator/rest/getXml/Geoserver_WMS/UC_Federais_MMA/1642768370742/wms</t>
  </si>
  <si>
    <t>Classificação de origem: híbrido; Mandatório: Sim; Grupo funcional: Ambiental-territorial; Base indicativa: SNUC; atos federais de criacao; Cadastro Nacional de UCs; Acesso direto: Servico WMS direto da camada UC_Federais_MMA no DataGeo; permite filtrar categorias de protecao integral.</t>
  </si>
  <si>
    <t>Impacto sobre áreas sensíveis ou protegidas</t>
  </si>
  <si>
    <t>Projetos que afetam áreas de preservação permanente, unidades de conservação ou a zona costeira geram passivo ambiental. Evitar ou minimizar esse impacto é critério obrigatório, inclusive quanto ao conflito com o Zoneamento Ecológico-Econômico (ZEE).</t>
  </si>
  <si>
    <t>área protegida afetada; conflito com o ZEE</t>
  </si>
  <si>
    <t>https://www.planalto.gov.br/ccivil_03/decreto/2002/d4297.htm</t>
  </si>
  <si>
    <t>Sim</t>
  </si>
  <si>
    <t>Critério abstrato desdobrado em gatilhos espaciais observáveis de áreas protegidas</t>
  </si>
  <si>
    <t>1.1.1.3</t>
  </si>
  <si>
    <t>Unidade de Conservacao de Protecao Integral (Estadual)</t>
  </si>
  <si>
    <t>Buscar camada estadual de UCs de protecao integral.</t>
  </si>
  <si>
    <t>https://datageo.ambiente.sp.gov.br/geoserver/datageo/VWM_UC_ESTADUAL_EE_ITAPETI_POL/wfs?version=1.0.0&amp;request=GetFeature&amp;outputFormat=SHAPE-ZIP&amp;typeName=VWM_UC_ESTADUAL_EE_ITAPETI_POL</t>
  </si>
  <si>
    <t>Classificação de origem: híbrido; Mandatório: Sim; Grupo funcional: Ambiental-territorial; Base indicativa: SNUC; atos estaduais de criacao; cadastro estadual de UCs; Acesso direto: Download WFS direto de UC estadual de protecao integral; o DataGeo publica esse grupo por unidade, nao em camada estadual unica consolidada.</t>
  </si>
  <si>
    <t>1.1.1.4</t>
  </si>
  <si>
    <t>Unidade de Conservacao de Uso Sustentavel (Federal)</t>
  </si>
  <si>
    <t>Mesmo com uso sustentavel admitido, obras e ocupacoes ficam subordinadas ao zoneamento, ao plano de manejo e as regras da unidade, podendo haver limitacoes relevantes.</t>
  </si>
  <si>
    <t>Presença de incidência direta de unidade de conservacao de uso sustentavel sobre o projeto</t>
  </si>
  <si>
    <t>Buscar camada federal de UCs de uso sustentavel com incidencia em Sao Paulo.</t>
  </si>
  <si>
    <t>https://datageo.ambiente.sp.gov.br/serviceTranslator/rest/getXml/Geoserver_WMS/UCS_FEDERAIS_RPPN_SP_POL/1454507242495/wms</t>
  </si>
  <si>
    <t>Classificação de origem: híbrido; Mandatório: Sim; Grupo funcional: Ambiental-territorial; Base indicativa: SNUC; atos federais de criacao; Cadastro Nacional de UCs; Acesso direto: Servico WMS direto de camada federal especifica de uso sustentavel RPPN no DataGeo; outras categorias federais de uso sustentavel seguem publicacao por recorte ou camada distinta.</t>
  </si>
  <si>
    <t>1.1.1.5</t>
  </si>
  <si>
    <t>Unidade de Conservacao de Uso Sustentavel (Estadual)</t>
  </si>
  <si>
    <t>Buscar camada estadual de UCs de uso sustentavel.</t>
  </si>
  <si>
    <t>https://datageo.ambiente.sp.gov.br/geoserver/datageo/VWM_UC_ESTADUAL_APA_TIETE_JUMIRIM_POL/wfs?version=1.0.0&amp;request=GetFeature&amp;outputFormat=SHAPE-ZIP&amp;typeName=VWM_UC_ESTADUAL_APA_TIETE_JUMIRIM_POL</t>
  </si>
  <si>
    <t>Classificação de origem: híbrido; Mandatório: Sim; Grupo funcional: Ambiental-territorial; Base indicativa: SNUC; atos estaduais de criacao; cadastro estadual de UCs; Acesso direto: Download WFS direto de UC estadual de uso sustentavel; o DataGeo publica esse grupo por unidade, nao em camada estadual unica consolidada.</t>
  </si>
  <si>
    <t>1.1.1.6</t>
  </si>
  <si>
    <t>APM (Estadual)</t>
  </si>
  <si>
    <t>As Areas de Protecao aos Mananciais tem controle legal de uso do solo para resguardar o abastecimento publico, restringindo ocupacao e atividades com potencial de degradar a agua.</t>
  </si>
  <si>
    <t>Presença de incidência direta de apm sobre o projeto</t>
  </si>
  <si>
    <t>Buscar camada oficial das APMs.</t>
  </si>
  <si>
    <t>https://idemapas.emplasa.sp.gov.br/service</t>
  </si>
  <si>
    <t>Classificação de origem: híbrido; Mandatório: Sim; Grupo funcional: Ambiental-territorial; Base indicativa: Leis estaduais 898/1975 e 1.172/1976; Acesso direto: Servico WMS direto da camada RmspLimiteDeProtecaoAosMananciais10000Emplasa1975 (APM), conforme metadado estadual especifico.</t>
  </si>
  <si>
    <t>1.1.1.7</t>
  </si>
  <si>
    <t>APRM (Estadual)</t>
  </si>
  <si>
    <t>Nessas areas, o uso e a ocupacao do solo ficam submetidos a leis especificas de protecao e recuperacao dos mananciais, com condicionantes que podem limitar a implantacao da obra.</t>
  </si>
  <si>
    <t>Presença de incidência direta de aprm sobre o projeto</t>
  </si>
  <si>
    <t>Buscar camada oficial das APRMs.</t>
  </si>
  <si>
    <t>https://www.idesp.sp.gov.br/geoserver/idesp/wfs?service=WFS&amp;version=1.0.0&amp;request=GetFeature&amp;typeName=idesp:FEHIDRO_APRM_Guarapiranga_2024&amp;outputFormat=SHAPE-ZIP</t>
  </si>
  <si>
    <t>Classificação de origem: híbrido; Mandatório: Sim; Grupo funcional: Ambiental-territorial; Base indicativa: Lei estadual 9.866/1997 e leis especificas; Acesso direto: Download WFS direto de camada especifica de APRM no IDE-SP; o Estado publica APRMs em camadas tematicas por area, nao em uma unica camada consolidada.</t>
  </si>
  <si>
    <t>1.1.1.8</t>
  </si>
  <si>
    <t>ARO em APRM (Estadual)</t>
  </si>
  <si>
    <t>As Areas de Restricao a Ocupacao concentram fragilidade ambiental ou funcao estrategica para os mananciais e tendem a vedar ou restringir fortemente novas intervencoes.</t>
  </si>
  <si>
    <t>Presença de incidência direta de aro em aprm sobre o projeto</t>
  </si>
  <si>
    <t>Buscar camada oficial das Areas de Restricao a Ocupacao.</t>
  </si>
  <si>
    <t>Lei estadual 9.866/1997 e leis especificas</t>
  </si>
  <si>
    <t>Classificação de origem: híbrido; Mandatório: Sim; Grupo funcional: Ambiental-territorial; Base indicativa: Lei estadual 9.866/1997 e leis especificas; Acesso direto: Sem URL direta publica validavel para ARO consolidada em APRM nesta pesquisa.</t>
  </si>
  <si>
    <t>1.1.1.9</t>
  </si>
  <si>
    <t>Vegetacao nativa protegida (Federal)</t>
  </si>
  <si>
    <t>A supressao de vegetacao nativa depende de autorizacao e, na Mata Atlantica e em outras hipoteses legais, submete a obra a controles mais rigorosos e possivel bloqueio locacional.</t>
  </si>
  <si>
    <t>Presença de incidência direta de vegetacao nativa protegida sobre o projeto</t>
  </si>
  <si>
    <t>Buscar camada oficial aplicavel de remanescentes e vegetacao protegida.</t>
  </si>
  <si>
    <t>Lei 12.651/2012; Lei 11.428/2006</t>
  </si>
  <si>
    <t>Classificação de origem: híbrido; Mandatório: Sim; Grupo funcional: Ambiental-territorial; Base indicativa: Lei 12.651/2012; Lei 11.428/2006; Acesso direto: Sem URL direta publica validavel de camada federal consolidada para vegetacao nativa protegida nesta pesquisa.</t>
  </si>
  <si>
    <t>1.1.1.10</t>
  </si>
  <si>
    <t>Vegetacao nativa protegida (Estadual)</t>
  </si>
  <si>
    <t>Remanescentes protegidos por inventarios e bases oficiais estaduais costumam exigir controle de supressao, compensacao e adequacao de projeto, aumentando prazo e restricao de uso.</t>
  </si>
  <si>
    <t>Buscar camada estadual de remanescentes e vegetacao protegida.</t>
  </si>
  <si>
    <t>https://datageo.ambiente.sp.gov.br/geoserver/datageo/InventarioFlorestal2020/wfs?version=1.0.0&amp;request=GetFeature&amp;outputFormat=SHAPE-ZIP&amp;typeName=InventarioFlorestal2020</t>
  </si>
  <si>
    <t>Classificação de origem: híbrido; Mandatório: Sim; Grupo funcional: Ambiental-territorial; Base indicativa: Inventarios e bases oficiais estaduais; Acesso direto: Download SHP direto do Inventario Florestal 2020 publicado no DataGeo.</t>
  </si>
  <si>
    <t>1.1.1.11</t>
  </si>
  <si>
    <t>Manguezal e restinga (Federal)</t>
  </si>
  <si>
    <t>Manguezais e restingas exercem funcao ecologica especialmente protegida; a intervencao e excepcional e pode ser vedada ou fortemente condicionada no licenciamento.</t>
  </si>
  <si>
    <t>Presença de incidência direta de manguezal e restinga sobre o projeto</t>
  </si>
  <si>
    <t>Buscar camada federal aplicavel e referencia normativa costeira.</t>
  </si>
  <si>
    <t>Lei 12.651/2012; Constituicao Federal, art. 225</t>
  </si>
  <si>
    <t>Classificação de origem: híbrido; Mandatório: Sim; Grupo funcional: Ambiental-territorial; Base indicativa: Lei 12.651/2012; Constituicao Federal, art. 225; Acesso direto: Sem URL direta publica validavel de camada federal consolidada para manguezal e restinga nesta pesquisa.</t>
  </si>
  <si>
    <t>1.1.1.12</t>
  </si>
  <si>
    <t>Manguezal e restinga (Estadual)</t>
  </si>
  <si>
    <t>No litoral paulista, manguezais e restingas estao sujeitos a protecao costeira e zoneamentos oficiais, o que restringe ocupacao, supressao vegetal e implantacao de infraestrutura.</t>
  </si>
  <si>
    <t>Buscar camada estadual ou ZEE oficial do litoral paulista.</t>
  </si>
  <si>
    <t>https://datageo.ambiente.sp.gov.br/geoserver/datageo/VWM_UC_ESTADUAL_PE_RESTINGA_BERTIOGA_POL/wfs?version=1.0.0&amp;request=GetFeature&amp;outputFormat=SHAPE-ZIP&amp;typeName=VWM_UC_ESTADUAL_PE_RESTINGA_BERTIOGA_POL</t>
  </si>
  <si>
    <t>Classificação de origem: híbrido; Mandatório: Sim; Grupo funcional: Ambiental-territorial; Base indicativa: Zoneamentos e bases oficiais estaduais do litoral; Acesso direto: Download WFS direto do PE Restinga de Bertioga, valido como recorte estadual especifico de restinga; nao apareceu camada estadual unica consolidada para manguezal e restinga.</t>
  </si>
  <si>
    <t>1.1.1.13</t>
  </si>
  <si>
    <t>Cavidade natural e area de influencia espeleologica (Federal)</t>
  </si>
  <si>
    <t>Cavidades naturais e sua area de influencia dependem de licenciamento e classificacao de relevancia; as de relevancia maxima nao podem sofrer impacto irreversivel.</t>
  </si>
  <si>
    <t>Presença de incidência direta de cavidade natural e area de influencia espeleologica sobre o projeto</t>
  </si>
  <si>
    <t>Buscar base oficial de cavidades naturais e, se houver, zonas de influencia ou relevancia.</t>
  </si>
  <si>
    <t>CECAV/ICMBio; normas federais de protecao espeleologica</t>
  </si>
  <si>
    <t>Classificação de origem: híbrido; Mandatório: Sim; Grupo funcional: Ambiental-geologico; Base indicativa: CECAV/ICMBio; normas federais de protecao espeleologica; Acesso direto: Sem URL direta publica validavel de cavidades/espeleologia federal nesta pesquisa.</t>
  </si>
  <si>
    <t>1.1.1.14</t>
  </si>
  <si>
    <t>Cavidade natural e area de influencia espeleologica (Estadual)</t>
  </si>
  <si>
    <t>Buscar camada estadual complementar quando houver produto espacial utilizavel.</t>
  </si>
  <si>
    <t>https://datageo.ambiente.sp.gov.br/serviceTranslator/rest/getXml/Geoserver_Publico/G_APPCAVIDADES/1435668357636/wms</t>
  </si>
  <si>
    <t>Classificação de origem: híbrido; Mandatório: Sim; Grupo funcional: Ambiental-geologico; Base indicativa: Bases estaduais complementares e estudos tematicos oficiais; Acesso direto: Servico WMS direto do indicador preliminar de area de influencia sobre o patrimonio espeleologico; na validacao nao apareceu download WFS/shape aberto para essa camada.</t>
  </si>
  <si>
    <t>1.1.2</t>
  </si>
  <si>
    <t>Fundiário-patrimonial</t>
  </si>
  <si>
    <t>Agrupa restrições fundiárias, arqueológicas e patrimoniais com potencial impeditivo.</t>
  </si>
  <si>
    <t>1.1.2.1</t>
  </si>
  <si>
    <t>Terra Indigena (Federal)</t>
  </si>
  <si>
    <t>A Constituicao assegura posse permanente e usufruto exclusivo indigena, tornando obras e exploracao de recursos sujeitas a regime constitucional especial e forte restricao territorial.</t>
  </si>
  <si>
    <t>Presença de incidência direta de terra indigena sobre o projeto</t>
  </si>
  <si>
    <t>Buscar camada oficial da FUNAI.</t>
  </si>
  <si>
    <t>https://geoserver.funai.gov.br/geoserver/Funai/ows?service=WFS&amp;version=1.0.0&amp;request=GetFeature&amp;typeName=Funai:tis_poligonais&amp;maxFeatures=10000&amp;outputFormat=SHAPE-ZIP</t>
  </si>
  <si>
    <t>Classificação de origem: híbrido; Mandatório: Sim; Grupo funcional: Socioambiental-fundiario; Base indicativa: Constituicao Federal; FUNAI; demarcacao federal; Acesso direto: Download SHP direto da camada Funai:tis_poligonais.</t>
  </si>
  <si>
    <t>Risco</t>
  </si>
  <si>
    <t>Risco socioambiental (comunidades tradicionais)</t>
  </si>
  <si>
    <t>A presença de comunidades tradicionais, como quilombolas e indígenas, exige consulta e cuidado redobrados. O risco socioambiental, se não for tratado, pode paralisar o projeto.</t>
  </si>
  <si>
    <t>presença e grau de conflito socioambiental</t>
  </si>
  <si>
    <t>https://www.ilo.org/pt-pt/resource/other/convencao-no-169-da-oit-sobre-povos-indigenas-e-tribais-traduzida-para</t>
  </si>
  <si>
    <t>Critério abstrato desdobrado em terras indígenas e territórios quilombolas</t>
  </si>
  <si>
    <t>1.1.2.2</t>
  </si>
  <si>
    <t>Sitio arqueologico (Federal)</t>
  </si>
  <si>
    <t>Sitios arqueologicos sao protegidos pelo poder publico e sua intervencao depende de avaliacao e autorizacao competentes, podendo paralisar obra e exigir pesquisa ou salvamento.</t>
  </si>
  <si>
    <t>Presença de incidência direta de sitio arqueologico sobre o projeto</t>
  </si>
  <si>
    <t>Buscar cadastro ou camada oficial do Iphan para patrimonio arqueologico.</t>
  </si>
  <si>
    <t>https://geoserver.iphan.gov.br/geoserver/ows?service=WFS&amp;version=1.0.0&amp;request=GetFeature&amp;outputFormat=SHAPE-ZIP&amp;typeName=SICG:sitios</t>
  </si>
  <si>
    <t>Classificação de origem: híbrido; Mandatório: Sim; Grupo funcional: Patrimonio cultural; Base indicativa: Lei 3.924/1961; Decreto-Lei 25/1937; Iphan; Acesso direto: Download SHP direto da camada SICG:sitios do IPHAN.</t>
  </si>
  <si>
    <t>1.1.2.3</t>
  </si>
  <si>
    <t>Sitio arqueologico (Estadual)</t>
  </si>
  <si>
    <t>Buscar base estadual complementar apenas quando houver camada oficial utilizavel.</t>
  </si>
  <si>
    <t>Cadastros estaduais complementares articulados ao Iphan</t>
  </si>
  <si>
    <t>Classificação de origem: híbrido; Mandatório: Sim; Grupo funcional: Patrimonio cultural; Base indicativa: Cadastros estaduais complementares articulados ao Iphan; Acesso direto: Sem URL direta publica validavel de camada estadual complementar para sitio arqueologico nesta pesquisa.</t>
  </si>
  <si>
    <t>1.1.2.4</t>
  </si>
  <si>
    <t>Bem tombado e area envoltoria (Federal)</t>
  </si>
  <si>
    <t>Bens tombados e sua vizinhanca nao podem ser demolidos, alterados ou ter a visibilidade prejudicada sem autorizacao do orgao de tutela, restringindo projeto e implantacao.</t>
  </si>
  <si>
    <t>Presença de incidência direta de bem tombado e area envoltoria sobre o projeto</t>
  </si>
  <si>
    <t>Buscar bens tombados federais e, quando houver, poligonos de entorno ou area envoltoria.</t>
  </si>
  <si>
    <t>https://geoserver.iphan.gov.br/geoserver/ows?service=WFS&amp;version=1.0.0&amp;request=GetFeature&amp;outputFormat=SHAPE-ZIP&amp;typeName=SICG:bem_poligono</t>
  </si>
  <si>
    <t>Classificação de origem: híbrido; Mandatório: Sim; Grupo funcional: Patrimonio cultural; Base indicativa: Iphan; Decreto-Lei 25/1937; Acesso direto: Download SHP direto de bens materiais do IPHAN; nao apareceu camada federal publica separada de area envoltoria.</t>
  </si>
  <si>
    <t>1.1.2.5</t>
  </si>
  <si>
    <t>Bem tombado e area envoltoria (Estadual)</t>
  </si>
  <si>
    <t>Bens tombados e suas areas envoltorias ficam sujeitos a autorizacao previa do orgao de tutela, o que pode limitar gabarito, traçado, demolicao e alteracoes no entorno.</t>
  </si>
  <si>
    <t>Buscar bens tombados estaduais e respectivas areas envoltorias mapeadas.</t>
  </si>
  <si>
    <t>https://www.idesp.sp.gov.br/geoserver/idesp_acervo/wfs?service=WFS&amp;version=1.0.0&amp;request=GetFeature&amp;typeName=idesp_acervo:area_envoltoria_2025_01_v0&amp;outputFormat=SHAPE-ZIP</t>
  </si>
  <si>
    <t>Classificação de origem: híbrido; Mandatório: Sim; Grupo funcional: Patrimonio cultural; Base indicativa: Condephaat e atos estaduais de tombamento; Acesso direto: Download WFS direto da camada estadual de areas envoltorias de bem tombado do acervo Condephaat/IDE-SP.</t>
  </si>
  <si>
    <t>1.1.3</t>
  </si>
  <si>
    <t>Jurídico-institucional forte</t>
  </si>
  <si>
    <t>Agrupa restrições legais expressas e regimes especiais com potencial de travamento.</t>
  </si>
  <si>
    <t>1.1.3.1</t>
  </si>
  <si>
    <t>Menor exposição a entraves jurídicos e jurisdicionais</t>
  </si>
  <si>
    <t>Pendências elevam o risco de paralisação e constituem critério obrigatório (PPT, slide 3).</t>
  </si>
  <si>
    <t>Número de pendências jurídicas e jurisdicionais do empreendimento</t>
  </si>
  <si>
    <t>Pendências jurídicas e jurisdicionais. A ausência de impedimentos jurídicos e jurisdicionais é condição para a execução.</t>
  </si>
  <si>
    <t>número de pendências; grau de risco jurídico</t>
  </si>
  <si>
    <t>número por célula de 100x100 m</t>
  </si>
  <si>
    <t>https://www.planalto.gov.br/ccivil_03/_ato2019-2022/2021/lei/l14133.htm</t>
  </si>
  <si>
    <t>Classificação de origem: atributo de projeto; Mandatório: Sim</t>
  </si>
  <si>
    <t>Institucional</t>
  </si>
  <si>
    <t>Pendências jurídicas e jurisdicionais</t>
  </si>
  <si>
    <t>A ausência de impedimentos jurídicos e jurisdicionais é condição para a execução. Pendências elevam o risco de paralisação e constituem critério obrigatório (PPT, slide 3).</t>
  </si>
  <si>
    <t>1.1.3.2</t>
  </si>
  <si>
    <t>Area embargada por infracao ambiental (Federal)</t>
  </si>
  <si>
    <t>Area embargada fica legalmente impedida de manter obra ou atividade ate a regularizacao, e o descumprimento gera novas sancoes, o que configura restricao direta a execucao.</t>
  </si>
  <si>
    <t>Presença de incidência direta de area embargada por infracao ambiental sobre o projeto</t>
  </si>
  <si>
    <t>Buscar camada ou painel espacial oficial de embargos do Ibama.</t>
  </si>
  <si>
    <t>Ibama; bases oficiais de embargo ambiental</t>
  </si>
  <si>
    <t>Classificação de origem: híbrido; Mandatório: Sim; Grupo funcional: Fiscalizacao ambiental; Base indicativa: Ibama; bases oficiais de embargo ambiental; Acesso direto: Sem URL direta publica validavel de camada federal de areas embargadas nesta pesquisa.</t>
  </si>
  <si>
    <t>1.1.3.3</t>
  </si>
  <si>
    <t>Area embargada por infracao ambiental (Estadual)</t>
  </si>
  <si>
    <t>Buscar camada estadual oficial de embargos ou autos com espacializacao utilizavel.</t>
  </si>
  <si>
    <t>CETESB e orgaos estaduais de fiscalizacao, quando houver base espacial</t>
  </si>
  <si>
    <t>Classificação de origem: híbrido; Mandatório: Sim; Grupo funcional: Fiscalizacao ambiental; Base indicativa: CETESB e orgaos estaduais de fiscalizacao, quando houver base espacial; Acesso direto: Sem URL direta publica validavel de camada estadual de areas embargadas nesta pesquisa.</t>
  </si>
  <si>
    <t>1.1.3.4</t>
  </si>
  <si>
    <t>Area militar ou de seguranca institucional sensivel (Federal)</t>
  </si>
  <si>
    <t>Areas militares ou sensiveis podem ter acesso controlado e restricoes territoriais por seguranca e defesa, exigindo compatibilizacao institucional antes da execucao.</t>
  </si>
  <si>
    <t>Presença de incidência direta de area militar ou de seguranca institucional sensivel sobre o projeto</t>
  </si>
  <si>
    <t>Buscar apenas camadas publicas e oficialmente divulgadas com restricao territorial clara.</t>
  </si>
  <si>
    <t>Ministerio da Defesa e orgaos setoriais, quando houver base publica</t>
  </si>
  <si>
    <t>Classificação de origem: híbrido; Mandatório: Sim; Grupo funcional: Seguranca e defesa; Base indicativa: Ministerio da Defesa e orgaos setoriais, quando houver base publica; Acesso direto: Sem URL direta publica validavel; bases territoriais militares/sensiveis nao foram encontradas publicamente de forma aberta e consolidada nesta pesquisa.</t>
  </si>
  <si>
    <t>1.2</t>
  </si>
  <si>
    <t>Critérios não impeditivos: o projeto segue com ressalvas.</t>
  </si>
  <si>
    <t>1.2.1</t>
  </si>
  <si>
    <t>Agrupa riscos ambientais e físicos que exigem ressalvas na implantação.</t>
  </si>
  <si>
    <t>1.2.1.1</t>
  </si>
  <si>
    <t>Zona de amortecimento de UC (Federal)</t>
  </si>
  <si>
    <t>No entorno da UC, atividades humanas ficam sujeitas a normas e restricoes especificas para reduzir impactos sobre a unidade, o que pode impor condicionantes e limitar o traçado.</t>
  </si>
  <si>
    <t>Presença, proximidade ou interferência de zona de amortecimento de uc sobre o projeto</t>
  </si>
  <si>
    <t>Usar camada oficial da zona de amortecimento quando existir.</t>
  </si>
  <si>
    <t>Presença, proximidade ou grau de interferência do tema sobre o projeto.</t>
  </si>
  <si>
    <t>Plano de manejo; atos de delimitacao; cadastro federal de UCs</t>
  </si>
  <si>
    <t>Classificação de origem: híbrido; Mandatório: Não; Grupo funcional: Ambiental-territorial; Base indicativa: Plano de manejo; atos de delimitacao; cadastro federal de UCs; Acesso direto: Sem URL direta publica validavel para uma camada federal consolidada de zona de amortecimento.</t>
  </si>
  <si>
    <t>1.2.1.2</t>
  </si>
  <si>
    <t>Zona de amortecimento de UC (Estadual)</t>
  </si>
  <si>
    <t>https://datageo.ambiente.sp.gov.br/serviceTranslator/rest/getXml/Geoserver_WMS/PLANO_MANEJO_PE_RESTINGA_BERTIOGA_ZONA_AMORTECIMENTO_POL_FF_2018/1559930425301/wms</t>
  </si>
  <si>
    <t>Classificação de origem: híbrido; Mandatório: Não; Grupo funcional: Ambiental-territorial; Base indicativa: Plano de manejo; atos de delimitacao; cadastro estadual de UCs; Acesso direto: Servico WMS direto da zona de amortecimento do PE Restinga de Bertioga; no acervo estadual a publicacao e por UC/plano de manejo e o workspace desse grupo esta com WFS desabilitado.</t>
  </si>
  <si>
    <t>1.2.1.3</t>
  </si>
  <si>
    <t>Area contaminada ou reabilitada (Estadual)</t>
  </si>
  <si>
    <t>Passivos de contaminacao exigem investigacao, gerenciamento de risco e, quando necessario, remediacao aprovada pela CETESB, elevando custo, prazo e limitacoes de uso do solo.</t>
  </si>
  <si>
    <t>Grau de exposição a area contaminada ou reabilitada</t>
  </si>
  <si>
    <t>Buscar base oficial de areas contaminadas e reabilitadas da CETESB.</t>
  </si>
  <si>
    <t>Grau de exposição espacial ao tema na célula territorial do projeto.</t>
  </si>
  <si>
    <t>https://datageo.ambiente.sp.gov.br/geoserver/datageo/VWM_AREA_CONTAMINADA_CETESB_2020_PTO/wfs?version=1.0.0&amp;request=GetFeature&amp;outputFormat=SHAPE-ZIP&amp;typeName=VWM_AREA_CONTAMINADA_CETESB_2020_PTO</t>
  </si>
  <si>
    <t>Classificação de origem: híbrido; Mandatório: Não; Grupo funcional: Passivo ambiental urbano-industrial; Base indicativa: CETESB; cadastro de areas contaminadas e reabilitadas; Acesso direto: Download SHP direto da camada de Areas Contaminadas e Reabilitadas 2020.</t>
  </si>
  <si>
    <t>1.2.1.4</t>
  </si>
  <si>
    <t>Area suscetivel a inundacao e alagamento (Estadual)</t>
  </si>
  <si>
    <t>A suscetibilidade a inundacao pode impedir ocupacao segura e exigir redimensionamento, drenagem, elevacao de cota ou relocalizacao do empreendimento.</t>
  </si>
  <si>
    <t>Grau de exposição a area suscetivel a inundacao e alagamento</t>
  </si>
  <si>
    <t>Buscar manchas de inundacao, cartas de suscetibilidade e bases oficiais correlatas.</t>
  </si>
  <si>
    <t>https://datageo.ambiente.sp.gov.br/geoserver/datageo/PEDOLOGICO_INUNDACAO_IPA_2022_POL/wfs?version=1.0.0&amp;request=GetFeature&amp;outputFormat=SHAPE-ZIP&amp;typeName=PEDOLOGICO_INUNDACAO_IPA_2022_POL</t>
  </si>
  <si>
    <t>Classificação de origem: híbrido; Mandatório: Não; Grupo funcional: Risco fisico-climatico; Base indicativa: Defesa Civil; cartas e bases estaduais tematicas; Acesso direto: Download SHP direto da camada Classes de suscetibilidade a inundacao.</t>
  </si>
  <si>
    <t>1.2.1.5</t>
  </si>
  <si>
    <t>Area suscetivel a escorregamento e erosao (Estadual)</t>
  </si>
  <si>
    <t>A suscetibilidade geotecnica compromete estabilidade e seguranca, podendo exigir contencoes, estudos adicionais, restricao de ocupacao ou mudanca de traçado.</t>
  </si>
  <si>
    <t>Grau de exposição a area suscetivel a escorregamento e erosao</t>
  </si>
  <si>
    <t>Buscar cartas de suscetibilidade geotecnica e movimentos de massa.</t>
  </si>
  <si>
    <t>https://datageo.ambiente.sp.gov.br/geoserver/datageo/MapeamentoAreasRiscosNaturais2010/wfs?version=1.0.0&amp;request=GetFeature&amp;outputFormat=SHAPE-ZIP&amp;typeName=MapeamentoAreasRiscosNaturais2010</t>
  </si>
  <si>
    <t>Classificação de origem: híbrido; Mandatório: Não; Grupo funcional: Risco fisico-geotecnico; Base indicativa: Cartas geotecnicas e bases estaduais tematicas; Acesso direto: Download SHP direto do mapeamento de risco de escorregamento, inundacao e erosao.</t>
  </si>
  <si>
    <t>1.2.2</t>
  </si>
  <si>
    <t>Agrupa riscos fundiários e sociais com potencial de conflito territorial.</t>
  </si>
  <si>
    <t>1.2.2.1</t>
  </si>
  <si>
    <t>Territorio quilombola (Federal)</t>
  </si>
  <si>
    <t>O reconhecimento e a titulacao quilombola podem exigir definicao fundiaria, desapropriacao e protecao territorial, criando risco elevado de impedimento ou redirecionamento da obra.</t>
  </si>
  <si>
    <t>Presença, proximidade ou interferência de territorio quilombola sobre o projeto</t>
  </si>
  <si>
    <t>Buscar camada federal de territorios quilombolas reconhecidos ou em processo.</t>
  </si>
  <si>
    <t>INCRA; Decreto 4.887/2003</t>
  </si>
  <si>
    <t>Classificação de origem: híbrido; Mandatório: Não; Grupo funcional: Socioambiental-fundiario; Base indicativa: INCRA; Decreto 4.887/2003; Acesso direto: Sem URL direta publica validavel de camada federal quilombola nesta pesquisa; requer sistema especifico ou pedido ao INCRA/FCP.</t>
  </si>
  <si>
    <t>1.2.2.2</t>
  </si>
  <si>
    <t>Territorio quilombola (Estadual)</t>
  </si>
  <si>
    <t>O reconhecimento e a protecao territorial quilombola podem exigir definicao fundiaria e compatibilizacao institucional, gerando risco relevante de atraso ou restricao ao projeto.</t>
  </si>
  <si>
    <t>Buscar base estadual complementar quando houver camada oficial.</t>
  </si>
  <si>
    <t>Cadastros estaduais complementares</t>
  </si>
  <si>
    <t>Classificação de origem: híbrido; Mandatório: Não; Grupo funcional: Socioambiental-fundiario; Base indicativa: Cadastros estaduais complementares; Acesso direto: Sem URL direta publica validavel de camada estadual complementar quilombola nesta pesquisa.</t>
  </si>
  <si>
    <t>1.2.2.3</t>
  </si>
  <si>
    <t>Assentamento rural e area de reforma agraria (Federal)</t>
  </si>
  <si>
    <t>Assentamentos e areas de reforma agraria possuem destinacao social e regras fundiarias proprias, o que pode exigir compatibilizacao institucional e solucao previa de interferencias.</t>
  </si>
  <si>
    <t>Presença, proximidade ou interferência de assentamento rural e area de reforma agraria sobre o projeto</t>
  </si>
  <si>
    <t>Buscar base oficial de assentamentos e projetos de reforma agraria.</t>
  </si>
  <si>
    <t>INCRA</t>
  </si>
  <si>
    <t>Classificação de origem: híbrido; Mandatório: Não; Grupo funcional: Fundiario-social; Base indicativa: INCRA; Acesso direto: Sem URL direta publica validavel de camada federal de assentamentos/reforma agraria nesta pesquisa.</t>
  </si>
  <si>
    <t>1.2.2.4</t>
  </si>
  <si>
    <t>Assentamento rural e area de reforma agraria (Estadual)</t>
  </si>
  <si>
    <t>Assentamentos e areas vinculadas a politica agraria podem impor restricoes fundiarias e necessidade de compatibilizacao institucional antes da implantacao da obra.</t>
  </si>
  <si>
    <t>Buscar base estadual complementar quando houver.</t>
  </si>
  <si>
    <t>Cadastros estaduais complementares, quando existentes</t>
  </si>
  <si>
    <t>Classificação de origem: híbrido; Mandatório: Não; Grupo funcional: Fundiario-social; Base indicativa: Cadastros estaduais complementares, quando existentes; Acesso direto: Sem URL direta publica validavel de camada estadual complementar de assentamentos nesta pesquisa.</t>
  </si>
  <si>
    <t>1.2.3</t>
  </si>
  <si>
    <t>Infraestrutura e servidões</t>
  </si>
  <si>
    <t>Agrupa riscos de interferência física com redes e ativos estruturantes.</t>
  </si>
  <si>
    <t>1.2.3.1</t>
  </si>
  <si>
    <t>Infraestrutura linear existente com faixa de dominio ou servidao (Federal)</t>
  </si>
  <si>
    <t>Faixas de dominio e servidoes existentes impoem recuos, travessias autorizadas e restricoes a ocupacoes incompativeis, criando interferencia operacional e juridica direta.</t>
  </si>
  <si>
    <t>Presença, proximidade ou interferência de infraestrutura linear existente com faixa de dominio ou servidao sobre o projeto</t>
  </si>
  <si>
    <t>Buscar e sobrepor faixas de dominio, servidoes e eixos de infraestruturas federais existentes.</t>
  </si>
  <si>
    <t>DNIT, ANTT, ANP, ONS, ANEEL e orgaos setoriais conforme o ativo</t>
  </si>
  <si>
    <t>Classificação de origem: híbrido; Mandatório: Não; Grupo funcional: Interferencia operacional; Base indicativa: DNIT, ANTT, ANP, ONS, ANEEL e orgaos setoriais conforme o ativo; Acesso direto: Sem URL direta publica validavel de camada federal unificada para faixas de dominio e servidoes nesta pesquisa.</t>
  </si>
  <si>
    <t>1.2.3.2</t>
  </si>
  <si>
    <t>Infraestrutura linear existente com faixa de dominio ou servidao (Estadual)</t>
  </si>
  <si>
    <t>Buscar e sobrepor faixas de dominio e servidoes de ativos estaduais existentes.</t>
  </si>
  <si>
    <t>https://datageo.ambiente.sp.gov.br/serviceTranslator/rest/getXml/Geoserver_WMS/MalhaRodoviaria/1435155781744/wms</t>
  </si>
  <si>
    <t>Classificação de origem: híbrido; Mandatório: Não; Grupo funcional: Interferencia operacional; Base indicativa: DER-SP, concessionarias estaduais e orgaos setoriais; Acesso direto: Servico WMS direto da Malha Rodoviaria DER; para ferrovia existe registro separado, como VWM_INFRAESTRUTURA_TRANSPORTE_FERROVIAS_2022_PTO_LN.</t>
  </si>
  <si>
    <t>1.2.3.3</t>
  </si>
  <si>
    <t>Area aeroportuaria e superficie limitadora de obstaculos (Federal)</t>
  </si>
  <si>
    <t>Areas aeroportuarias e superficies limitadoras impoem restricoes de altura, implantacao e uso do solo por seguranca aeronautica, podendo inviabilizar estruturas ou tracados.</t>
  </si>
  <si>
    <t>Presença, proximidade ou interferência de area aeroportuaria e superficie limitadora de obstaculos sobre o projeto</t>
  </si>
  <si>
    <t>Buscar poligonos aeroportuarios e, quando houver, superficies restritivas com representacao espacial utilizavel.</t>
  </si>
  <si>
    <t>ANAC, DECEA e aerodromos publicos</t>
  </si>
  <si>
    <t>Classificação de origem: híbrido; Mandatório: Não; Grupo funcional: Restricao aeronautica; Base indicativa: ANAC, DECEA e aerodromos publicos; Acesso direto: Sem URL direta publica validavel de camada de superficies limitadoras de obstaculos nesta pesquisa; AISWEB e portal de consulta, nao camada aberta validada.</t>
  </si>
  <si>
    <t>2</t>
  </si>
  <si>
    <t>Etapa 2</t>
  </si>
  <si>
    <t>Hierarquização por mérito estrutural. Só compara projetos aptos na Etapa 1 e não incorpora impeditivos locacionais nem atributos intrínsecos do projeto.</t>
  </si>
  <si>
    <t>2.1</t>
  </si>
  <si>
    <t>Técnica</t>
  </si>
  <si>
    <t>Agrupa critérios de desempenho, operação e condição da rede.</t>
  </si>
  <si>
    <t>2.1.1</t>
  </si>
  <si>
    <t>Proximidade com segmentos rodoviários de VDM alto</t>
  </si>
  <si>
    <t>Quanto maior o VDM, maior a saturação e a pressão por intervenção, o que indica projetos que atendem a um número expressivo de usuários e geram benefício imediato.</t>
  </si>
  <si>
    <t>Distância euclidiana ponderada pelo VDM dos segmentos rodoviários</t>
  </si>
  <si>
    <t>positiva</t>
  </si>
  <si>
    <t>VDM — Volume Diário Médio. O volume diário médio mede a demanda de tráfego já instalada no trecho.</t>
  </si>
  <si>
    <t>veículos/dia (VDM); modelo gravitacional</t>
  </si>
  <si>
    <t>veículos/dia por célula de 100x100 m</t>
  </si>
  <si>
    <t>https://www.gov.uk/guidance/transport-analysis-guidance-tag</t>
  </si>
  <si>
    <t>Classificação de origem: rede; Mandatório: Não</t>
  </si>
  <si>
    <t>VDM — Volume Diário Médio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</si>
  <si>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</si>
  <si>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↑ Positiva</t>
  </si>
  <si>
    <t>2.1.2</t>
  </si>
  <si>
    <t>Proximidade com segmentos de saturação elevada</t>
  </si>
  <si>
    <t>Trechos que operam em níveis E ou F encontram-se congestionados ou sobre-saturados e exigem intervenção prioritária para restabelecer a fluidez e a segurança.</t>
  </si>
  <si>
    <t>Distância euclidiana ponderada pela relação volume/capacidade dos segmentos</t>
  </si>
  <si>
    <t>Nível de Serviço (NS) / Saturação. O nível de serviço traduz a relação entre a demanda e a capacidade da via.</t>
  </si>
  <si>
    <t>NS de A a F; relação V/C no ano base e no futuro</t>
  </si>
  <si>
    <t>relação V/C por célula de 100x100 m</t>
  </si>
  <si>
    <t>https://www.trb.org/Main/Blurbs/175169.aspx</t>
  </si>
  <si>
    <t>Nível de Serviço (NS) / Saturação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</si>
  <si>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</si>
  <si>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Equipe Rede / Equipe Projeto / Equipe Econômica / Equipe "Coordenação"</t>
  </si>
  <si>
    <t>2.1.3</t>
  </si>
  <si>
    <t>Proximidade com segmentos de lentidão recorrente</t>
  </si>
  <si>
    <t>Quanto maior o tempo adicional em relação ao fluxo livre, mais crítico é o trecho.</t>
  </si>
  <si>
    <t>Distância euclidiana ponderada pelo excedente de tempo em relação ao fluxo livre</t>
  </si>
  <si>
    <t>Congestionamento real ("tempo lento"). A lentidão observada em plataformas de mapeamento em tempo real revela gargalos de capacidade que nem sempre aparecem nas contagens oficiais.</t>
  </si>
  <si>
    <t>minutos adicionais em relação ao fluxo livre (Google API)</t>
  </si>
  <si>
    <t>minutos por célula de 100x100 m</t>
  </si>
  <si>
    <t>Congestionamento real ("tempo lento")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</si>
  <si>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</si>
  <si>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Equipe Projeto</t>
  </si>
  <si>
    <t>2.1.4</t>
  </si>
  <si>
    <t>Proximidade com segmentos de pavimento degradado</t>
  </si>
  <si>
    <t>Pavimentos degradados elevam os custos de manutenção e os acidentes, o que justifica priorizar a restauração.</t>
  </si>
  <si>
    <t>Distância euclidiana ponderada pelo índice de degradação do pavimento</t>
  </si>
  <si>
    <t>Estado de conservação do pavimento. A condição do pavimento afeta diretamente o custo operacional dos veículos, a segurança e a vida útil da via.</t>
  </si>
  <si>
    <t>IRI/PCI; idade do pavimento</t>
  </si>
  <si>
    <t>índice IRI/PCI por célula de 100x100 m</t>
  </si>
  <si>
    <t>https://documents.worldbank.org/en/publication/documents-reports/documentdetail/793271468171847482</t>
  </si>
  <si>
    <t>Estado de conservação do pavimento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</si>
  <si>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</si>
  <si>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2.1.5</t>
  </si>
  <si>
    <t>Proximidade com segmentos de geometria deficiente</t>
  </si>
  <si>
    <t>Corrigir essas deficiências geométricas melhora, ao mesmo tempo, a fluidez e a segurança.</t>
  </si>
  <si>
    <t>Distância euclidiana ponderada pelo índice de deficiência geométrica dos segmentos</t>
  </si>
  <si>
    <t>Deficiência geométrica (rampas, alças e raios). Rampas acentuadas, alças mal dimensionadas e raios de curva inadequados reduzem a capacidade e elevam o risco de acidentes.</t>
  </si>
  <si>
    <t>% de inclinação; raio de curva (m); velocidade (km/h)</t>
  </si>
  <si>
    <t>índice geométrico por célula de 100x100 m</t>
  </si>
  <si>
    <t>https://irap.org/rap-tools/infrastructure-ratings/star-ratings/</t>
  </si>
  <si>
    <t>Deficiência geométrica (rampas, alças e raios)</t>
  </si>
  <si>
    <t>Rampas acentuadas, alças mal dimensionadas e raios de curva inadequados reduzem a capacidade e elevam o risco de acidentes. Corrigir essas deficiências geométricas melhora, ao mesmo tempo, a fluidez e a segurança.</t>
  </si>
  <si>
    <t>2.1.6</t>
  </si>
  <si>
    <t>Proximidade com segmentos de forte sobrecarga sazonal</t>
  </si>
  <si>
    <t>A relação entre o VDM sazonal e o VDM médio dimensiona essa pressão adicional.</t>
  </si>
  <si>
    <t>Distância euclidiana ponderada pela razão entre tráfego sazonal e tráfego médio</t>
  </si>
  <si>
    <t>Tráfego sazonal (fins de semana e feriados). Rodovias turísticas e de escoamento de safra sofrem picos sazonais que sobrecarregam a capacidade em fins de semana, feriados e épocas de colheita.</t>
  </si>
  <si>
    <t>razão entre VDM sazonal e VDM médio</t>
  </si>
  <si>
    <t>razão entre VDM sazonal e VDM médio por célula de 100x100 m</t>
  </si>
  <si>
    <t>Tráfego sazonal (fins de semana e feriados)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</si>
  <si>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</si>
  <si>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2.2</t>
  </si>
  <si>
    <t>Econômico-financeira</t>
  </si>
  <si>
    <t>Agrupa critérios de retorno, custo, competitividade e eficiência econômica.</t>
  </si>
  <si>
    <t>2.2.1</t>
  </si>
  <si>
    <t>Menor custo de investimento por benefício esperado</t>
  </si>
  <si>
    <t>Projetos com menor Capex para um benefício equivalente liberam orçamento para mais intervenções e ampliam o alcance da carteira.</t>
  </si>
  <si>
    <t>Custo total de investimento do empreendimento</t>
  </si>
  <si>
    <t>Capex (custo de investimento). O custo de investimento determina o volume de recursos públicos imobilizados.</t>
  </si>
  <si>
    <t>R$ (custo total de investimento)</t>
  </si>
  <si>
    <t>R$ por célula de 100x100 m</t>
  </si>
  <si>
    <t>https://www.transportation.gov/mission/office-secretary/office-policy/transportation-policy/benefit-cost-analysis-guidance</t>
  </si>
  <si>
    <t>Financeiro</t>
  </si>
  <si>
    <t>Capex (custo de investimento)</t>
  </si>
  <si>
    <t>O custo de investimento determina o volume de recursos públicos imobilizados. Projetos com menor Capex para um benefício equivalente liberam orçamento para mais intervenções e ampliam o alcance da carteira.</t>
  </si>
  <si>
    <t>2.2.2</t>
  </si>
  <si>
    <t>Menor custo operacional ao longo da vida útil</t>
  </si>
  <si>
    <t>Projetos com menor Opex são financeiramente mais sustentáveis no longo prazo.</t>
  </si>
  <si>
    <t>Custo anual equivalente de operação e manutenção</t>
  </si>
  <si>
    <t>Opex (operação e manutenção). Os custos de operação e manutenção comprometem o orçamento ao longo de toda a vida útil do ativo.</t>
  </si>
  <si>
    <t>R$/ano</t>
  </si>
  <si>
    <t>R$/ano por célula de 100x100 m</t>
  </si>
  <si>
    <t>Opex (operação e manutenção)</t>
  </si>
  <si>
    <t>Os custos de operação e manutenção comprometem o orçamento ao longo de toda a vida útil do ativo. Projetos com menor Opex são financeiramente mais sustentáveis no longo prazo.</t>
  </si>
  <si>
    <t>2.2.3</t>
  </si>
  <si>
    <t>Maior retorno econômico por unidade investida</t>
  </si>
  <si>
    <t>Quanto maior o retorno, maior a eficiência da aplicação dos recursos públicos.</t>
  </si>
  <si>
    <t>Relação benefício/custo do empreendimento</t>
  </si>
  <si>
    <t>Relação benefício/custo. A relação benefício/custo, o valor presente líquido (VPL) e a taxa interna de retorno (TIR) sintetizam o retorno por real investido.</t>
  </si>
  <si>
    <t>B/C; VPL; TIR</t>
  </si>
  <si>
    <t>índice B/C por célula de 100x100 m</t>
  </si>
  <si>
    <t>https://www.gov.uk/government/publications/the-green-book-appraisal-and-evaluation-in-central-government</t>
  </si>
  <si>
    <t>Relação benefício/custo</t>
  </si>
  <si>
    <t>A relação benefício/custo, o valor presente líquido (VPL) e a taxa interna de retorno (TIR) sintetizam o retorno por real investido. Quanto maior o retorno, maior a eficiência da aplicação dos recursos públicos.</t>
  </si>
  <si>
    <t>2.2.4</t>
  </si>
  <si>
    <t>Maior vantagem locacional frente a corredores de menor custo logístico</t>
  </si>
  <si>
    <t>Reduzir esses custos é critério relevante de priorização.</t>
  </si>
  <si>
    <t>Custo logístico diferencial por tonelada entre corredores concorrentes</t>
  </si>
  <si>
    <t>Custos logísticos diferenciados (porto/corredor). Diferenciais de custo logístico entre corredores e portos — por exemplo, o sobrecusto por tonelada de soja escoada por Santos — afetam a competitividade.</t>
  </si>
  <si>
    <t>US$/tonelada (ex.: +US$ 5/t de soja por Santos)</t>
  </si>
  <si>
    <t>US$/tonelada (ex.: +US$ 5/t de soja por Santos) por célula de 100x100 m</t>
  </si>
  <si>
    <t>https://trimis.ec.europa.eu/project/developing-harmonised-european-approaches-transport-costing-and-project-assessment</t>
  </si>
  <si>
    <t>Classificação de origem: híbrido; Mandatório: Não</t>
  </si>
  <si>
    <t>Custos logísticos diferenciados (porto/corredor)</t>
  </si>
  <si>
    <t>Diferenciais de custo logístico entre corredores e portos — por exemplo, o sobrecusto por tonelada de soja escoada por Santos — afetam a competitividade. Reduzir esses custos é critério relevante de priorização.</t>
  </si>
  <si>
    <t>2.2.5</t>
  </si>
  <si>
    <t>Maior benefício social líquido do empreendimento</t>
  </si>
  <si>
    <t>Além do retorno financeiro privado, deve-se considerar o valor presente líquido social, que incorpora externalidades positivas e negativas e alinha a seleção ao maior benefício agregado para a sociedade.</t>
  </si>
  <si>
    <t>Valor presente líquido social do empreendimento</t>
  </si>
  <si>
    <t>Benefício social na priorização</t>
  </si>
  <si>
    <t>VPL social; B/C social</t>
  </si>
  <si>
    <t>2.2.6</t>
  </si>
  <si>
    <t>Localização em áreas de alta massa econômica</t>
  </si>
  <si>
    <t>Projetos que servem a uma base produtiva maior, medida em empregos e em valor de produção, geram impacto econômico regional mais expressivo e devem ter prioridade na carteira.</t>
  </si>
  <si>
    <t>Empregos e valor adicionado da produção por célula</t>
  </si>
  <si>
    <t>Empregos e produção envolvidos</t>
  </si>
  <si>
    <t>número de empregos; R$/ano de produção</t>
  </si>
  <si>
    <t>Classificação de origem: grade; Mandatório: Não</t>
  </si>
  <si>
    <t>Econômica</t>
  </si>
  <si>
    <t>2.2.7</t>
  </si>
  <si>
    <t>Maior ganho de competitividade para a produção atendida</t>
  </si>
  <si>
    <t>A redução do custo logístico aumenta a competitividade da produção paulista nos mercados interno e externo, o que ajuda a manter e a ampliar a participação de mercado do Estado.</t>
  </si>
  <si>
    <t>Redução do custo logístico da produção atendida</t>
  </si>
  <si>
    <t>Competitividade da produção paulista</t>
  </si>
  <si>
    <t>participação de mercado; custo logístico total</t>
  </si>
  <si>
    <t>% e R$ por célula de 100x100 m</t>
  </si>
  <si>
    <t>2.2.8</t>
  </si>
  <si>
    <t>Maior acessibilidade temporal aos destinos relevantes</t>
  </si>
  <si>
    <t>A economia de tempo de viagem de pessoas e cargas converte-se diretamente em ganho de produtividade e em redução de custos, sendo um dos principais benefícios mensuráveis dos projetos de transporte.</t>
  </si>
  <si>
    <t>Tempo mínimo de viagem na rede até destinos relevantes</t>
  </si>
  <si>
    <t>Redução dos tempos de viagem</t>
  </si>
  <si>
    <t>min/km; tempo total origem-destino</t>
  </si>
  <si>
    <t>min/km por célula de 100x100 m</t>
  </si>
  <si>
    <t>2.2.9</t>
  </si>
  <si>
    <t>Maior potencial de indução econômica regional</t>
  </si>
  <si>
    <t>Infraestrutura nova pode induzir o surgimento de produção e de emprego em regiões-alvo, atuando como vetor de desenvolvimento e de desconcentração econômica do Estado.</t>
  </si>
  <si>
    <t>Variação estimada do PIB e do emprego na área de influência</t>
  </si>
  <si>
    <t>Indução de produção e emprego regional</t>
  </si>
  <si>
    <t>empregos e PIB induzidos por região</t>
  </si>
  <si>
    <t>empregos por célula de 100x100 m</t>
  </si>
  <si>
    <t>2.2.10</t>
  </si>
  <si>
    <t>Maior captura de cargas hoje sem alternativa logística eficiente</t>
  </si>
  <si>
    <t>Destravar essa demanda reprimida gera ganho econômico expressivo e amplia a eficiência da rede.</t>
  </si>
  <si>
    <t>Toneladas por ano de carga sem alternativa logística eficiente atendidas</t>
  </si>
  <si>
    <t>Atendimento a cargas sem alternativa eficiente. Há cargas hoje sem alternativa de transporte eficiente, presas a modais inadequados.</t>
  </si>
  <si>
    <t>toneladas/ano de carga atendida</t>
  </si>
  <si>
    <t>t/ano por célula de 100x100 m</t>
  </si>
  <si>
    <t>https://trid.trb.org/view/1334470</t>
  </si>
  <si>
    <t>Atendimento a cargas sem alternativa eficiente</t>
  </si>
  <si>
    <t>Há cargas hoje sem alternativa de transporte eficiente, presas a modais inadequados. Destravar essa demanda reprimida gera ganho econômico expressivo e amplia a eficiência da rede.</t>
  </si>
  <si>
    <t>2.2.11</t>
  </si>
  <si>
    <t>Maior suporte locacional e funcional a cadeias estratégicas</t>
  </si>
  <si>
    <t>Viabilizar o transporte dessas cadeias fortalece setores estratégicos da economia paulista.</t>
  </si>
  <si>
    <t>Toneladas por ano e valor da produção de cadeias estratégicas atendidas</t>
  </si>
  <si>
    <t>Suporte a cadeias estratégicas (Pré-Sal, agro, sucroenergético). Cadeias-chave do Estado — Pré-Sal, agronegócio e sucroenergético — dependem de logística adequada.</t>
  </si>
  <si>
    <t>toneladas/ano movimentadas das cadeias-alvo</t>
  </si>
  <si>
    <t>Suporte a cadeias estratégicas (Pré-Sal, agro, sucroenergético)</t>
  </si>
  <si>
    <t>Cadeias-chave do Estado — Pré-Sal, agronegócio e sucroenergético — dependem de logística adequada. Viabilizar o transporte dessas cadeias fortalece setores estratégicos da economia paulista.</t>
  </si>
  <si>
    <t>2.2.12</t>
  </si>
  <si>
    <t>Maior acessibilidade funcional a eixos hidroviários eficientes</t>
  </si>
  <si>
    <t>Ampliar a participação da hidrovia Tietê-Paraná na matriz de transporte reduz custos e emissões, ao aproveitar um modal de alta eficiência ainda subutilizado no Estado.</t>
  </si>
  <si>
    <t>Custo acumulado em rede até infraestruturas hidroviárias ponderado por tonelada-quilômetro</t>
  </si>
  <si>
    <t>Participação da hidrovia na matriz de transporte</t>
  </si>
  <si>
    <t>% de TKM hidroviário</t>
  </si>
  <si>
    <t>% TKM por célula de 100x100 m</t>
  </si>
  <si>
    <t>2.2.13</t>
  </si>
  <si>
    <t>Maior acessibilidade funcional à malha ferroviária estratégica</t>
  </si>
  <si>
    <t>Viabilizar ferrovias e short lines reduz a ociosidade da malha existente e desloca carga do modal rodoviário para um modal mais eficiente em longas distâncias.</t>
  </si>
  <si>
    <t>Custo acumulado em rede até a malha ferroviária ponderado por conectividade e tonelada-quilômetro</t>
  </si>
  <si>
    <t>Desenvolvimento ferroviário estadual</t>
  </si>
  <si>
    <t>km de malha ativa; TKM ferroviário</t>
  </si>
  <si>
    <t>km de malha ativa por célula de 100x100 m</t>
  </si>
  <si>
    <t>2.3</t>
  </si>
  <si>
    <t>Social</t>
  </si>
  <si>
    <t>Agrupa critérios de inclusão, acesso e alcance social do projeto.</t>
  </si>
  <si>
    <t>2.3.1</t>
  </si>
  <si>
    <t>Localização em áreas de maior vulnerabilidade territorial</t>
  </si>
  <si>
    <t>É critério obrigatório por orientação do PPT (slide 3) e da política de desenvolvimento regional.</t>
  </si>
  <si>
    <t>Índice territorial de vulnerabilidade socioeconômica por célula</t>
  </si>
  <si>
    <t>Redução de desigualdades regionais. Direcionar o investimento preferencialmente a regiões menos desenvolvidas reduz as desigualdades territoriais.</t>
  </si>
  <si>
    <t>IDH regional; PIB per capita regional</t>
  </si>
  <si>
    <t>Classificação de origem: grade; Mandatório: Sim</t>
  </si>
  <si>
    <t>Redução de desigualdades regionais</t>
  </si>
  <si>
    <t>Direcionar o investimento preferencialmente a regiões menos desenvolvidas reduz as desigualdades territoriais. É critério obrigatório por orientação do PPT (slide 3) e da política de desenvolvimento regional.</t>
  </si>
  <si>
    <t>2.3.2</t>
  </si>
  <si>
    <t>Maior população efetivamente alcançada pelo projeto</t>
  </si>
  <si>
    <t>Quanto maior a população na área de influência do projeto, maior o retorno social do investimento, pois um número maior de pessoas usufrui da melhoria.</t>
  </si>
  <si>
    <t>População residente na área de serviço funcional do projeto</t>
  </si>
  <si>
    <t>População beneficiada</t>
  </si>
  <si>
    <t>habitantes na área de influência</t>
  </si>
  <si>
    <t>habitantes por célula de 100x100 m</t>
  </si>
  <si>
    <t>2.3.3</t>
  </si>
  <si>
    <t>Maior melhoria de acesso para populações subatendidas</t>
  </si>
  <si>
    <t>Projetos que ampliam o acesso ao transporte para populações hoje subatendidas promovem equidade e inclusão, ao reduzir barreiras de mobilidade.</t>
  </si>
  <si>
    <t>População subatendida com ganho de acessibilidade na área de serviço</t>
  </si>
  <si>
    <t>Equidade no acesso ao transporte</t>
  </si>
  <si>
    <t>% da população atendida por serviço público</t>
  </si>
  <si>
    <t>% por célula de 100x100 m</t>
  </si>
  <si>
    <t>https://research.utwente.nl/en/publications/accessibility-evaluation-of-land-use-and-transport-strategies-rev</t>
  </si>
  <si>
    <t>2.3.4</t>
  </si>
  <si>
    <t>Maior melhoria de acesso a saúde e educação</t>
  </si>
  <si>
    <t>Projetos que melhoram esse acesso têm alto valor social.</t>
  </si>
  <si>
    <t>Tempo de viagem até serviços essenciais ponderado pela população atendida</t>
  </si>
  <si>
    <t>Acesso a serviços essenciais (saúde e educação). Conectar a população a unidades básicas de saúde, hospitais e escolas é função social essencial do transporte.</t>
  </si>
  <si>
    <t>população com acesso a serviço essencial via projeto</t>
  </si>
  <si>
    <t>população com acesso a serviço essencial via projeto por célula de 100x100 m</t>
  </si>
  <si>
    <t>Acesso a serviços essenciais (saúde e educação)</t>
  </si>
  <si>
    <t>Conectar a população a unidades básicas de saúde, hospitais e escolas é função social essencial do transporte. Projetos que melhoram esse acesso têm alto valor social.</t>
  </si>
  <si>
    <t>2.3.5</t>
  </si>
  <si>
    <t>Maior acessibilidade funcional a polos logísticos estratégicos</t>
  </si>
  <si>
    <t>Melhorar o acesso terrestre a polos logísticos — portos de Santos e de São Sebastião e Aeroporto de Viracopos — amplia a eficiência da cadeia e o retorno dos investimentos já realizados nesses polos.</t>
  </si>
  <si>
    <t>Custo acumulado em rede até portos e aeroportos ponderado pela relevância dos polos</t>
  </si>
  <si>
    <t>Acessibilidade a polos (portos e aeroportos)</t>
  </si>
  <si>
    <t>tempo médio de acesso; NS do acesso</t>
  </si>
  <si>
    <t>2.3.6</t>
  </si>
  <si>
    <t>Maior conexão de comunidades isoladas a oportunidades e serviços</t>
  </si>
  <si>
    <t>Conectar comunidades hoje isoladas reduz o isolamento territorial e amplia o acesso dessas populações a oportunidades, mercados e serviços públicos.</t>
  </si>
  <si>
    <t>Número de comunidades isoladas atendidas na área de serviço funcional do projeto</t>
  </si>
  <si>
    <t>Atendimento a comunidades isoladas</t>
  </si>
  <si>
    <t>número de comunidades conectadas</t>
  </si>
  <si>
    <t>2.4</t>
  </si>
  <si>
    <t>Segurança</t>
  </si>
  <si>
    <t>Agrupa critérios de redução de acidentes e de exposição a sinistros graves.</t>
  </si>
  <si>
    <t>2.4.1</t>
  </si>
  <si>
    <t>Proximidade com segmentos de alta gravidade de acidentes</t>
  </si>
  <si>
    <t>Trechos com maior número de óbitos e de feridos graves por quilômetro devem ser tratados prioritariamente.</t>
  </si>
  <si>
    <t>Distância euclidiana ponderada pela densidade de óbitos e feridos graves nos segmentos</t>
  </si>
  <si>
    <t>Acidentes com vítimas (gravidade). A redução de mortes e de feridos graves é prioridade de saúde pública.</t>
  </si>
  <si>
    <t>óbitos e feridos graves por km (InfoSiga)</t>
  </si>
  <si>
    <t>ocorrências/ano por célula de 100x100 m</t>
  </si>
  <si>
    <t>Acidentes com vítimas (gravidade)</t>
  </si>
  <si>
    <t>A redução de mortes e de feridos graves é prioridade de saúde pública. Trechos com maior número de óbitos e de feridos graves por quilômetro devem ser tratados prioritariamente.</t>
  </si>
  <si>
    <t>2.4.2</t>
  </si>
  <si>
    <t>Proximidade com segmentos de alta incidência de acidentes com usuários vulneráveis</t>
  </si>
  <si>
    <t>Projetos que reduzem os acidentes com esses grupos têm alto impacto na segurança viária.</t>
  </si>
  <si>
    <t>Distância euclidiana ponderada pela densidade de acidentes com usuários vulneráveis</t>
  </si>
  <si>
    <t>Acidentes com usuários vulneráveis. Pedestres, ciclistas e motociclistas são os usuários mais expostos da via.</t>
  </si>
  <si>
    <t>ocorrências/ano com usuários vulneráveis (InfoSiga)</t>
  </si>
  <si>
    <t>Acidentes com usuários vulneráveis</t>
  </si>
  <si>
    <t>Pedestres, ciclistas e motociclistas são os usuários mais expostos da via. Projetos que reduzem os acidentes com esses grupos têm alto impacto na segurança viária.</t>
  </si>
  <si>
    <t>2.4.3</t>
  </si>
  <si>
    <t>Maior necessidade de mitigação em eixos de cargas perigosas</t>
  </si>
  <si>
    <t>O transporte de produtos perigosos exige mitigação de risco antes, durante e após eventuais acidentes, dada a gravidade potencial de vazamentos, incêndios e explosões.</t>
  </si>
  <si>
    <t>Distância euclidiana ponderada pela frequência e severidade de ocorrências com cargas perigosas</t>
  </si>
  <si>
    <t>Transporte de cargas perigosas</t>
  </si>
  <si>
    <t>ocorrências/ano; severidade</t>
  </si>
  <si>
    <t>2.4.4</t>
  </si>
  <si>
    <t>Proximidade com concentração elevada de pontos críticos de acidentes</t>
  </si>
  <si>
    <t>Trechos com concentração de acidentes (pontos críticos) apresentam alto retorno em vidas salvas por real investido e justificam intervenção prioritária.</t>
  </si>
  <si>
    <t>Distância euclidiana ponderada pela densidade kernel de acidentes graves</t>
  </si>
  <si>
    <t>Concentração de pontos críticos ("black spots")</t>
  </si>
  <si>
    <t>densidade de acidentes por km</t>
  </si>
  <si>
    <t>2.5</t>
  </si>
  <si>
    <t>Agrupa critérios de desempenho ambiental e eficiência modal.</t>
  </si>
  <si>
    <t>2.5.1</t>
  </si>
  <si>
    <t>Maior potencial de redução de emissões associadas à localização e ao efeito de rede</t>
  </si>
  <si>
    <t>É critério obrigatório e mensurável em toneladas de CO₂ equivalente evitadas.</t>
  </si>
  <si>
    <t>Toneladas de CO2eq evitadas por ano por efeito locacional e de rede</t>
  </si>
  <si>
    <t>Redução de emissões de gases de efeito estufa (GEE). A redução das emissões de gases de efeito estufa é diretriz da Política Estadual de Mudanças Climáticas (Lei 13.798/2009).</t>
  </si>
  <si>
    <t>tCO₂eq/ano evitadas</t>
  </si>
  <si>
    <t>tCO2eq/ano por célula de 100x100 m</t>
  </si>
  <si>
    <t>https://www.al.sp.gov.br/repositorio/legislacao/lei/2009/lei-13798-09.11.2009.html</t>
  </si>
  <si>
    <t>Classificação de origem: híbrido; Mandatório: Sim</t>
  </si>
  <si>
    <t>Redução de emissões de gases de efeito estufa (GEE)</t>
  </si>
  <si>
    <t>A redução das emissões de gases de efeito estufa é diretriz da Política Estadual de Mudanças Climáticas (Lei 13.798/2009). É critério obrigatório e mensurável em toneladas de CO₂ equivalente evitadas.</t>
  </si>
  <si>
    <t>2.5.2</t>
  </si>
  <si>
    <t>Maior potencial de redução de poluição local em áreas expostas</t>
  </si>
  <si>
    <t>A redução de poluentes locais, como óxidos de nitrogênio e material particulado, melhora a qualidade do ar e a saúde pública nas áreas atravessadas pelo projeto.</t>
  </si>
  <si>
    <t>Distância euclidiana ponderada pela massa de poluentes locais evitados em áreas expostas</t>
  </si>
  <si>
    <t>Redução de poluentes locais</t>
  </si>
  <si>
    <t>g de NOx/km; material particulado</t>
  </si>
  <si>
    <t>g/km por célula de 100x100 m</t>
  </si>
  <si>
    <t>2.5.3</t>
  </si>
  <si>
    <t>Maior eficiência energética do sistema atendido</t>
  </si>
  <si>
    <t>Projetos que reduzem o consumo de energia por tonelada-quilômetro transportada diminuem custos e emissões, o que contribui para a sustentabilidade do sistema de transporte.</t>
  </si>
  <si>
    <t>Consumo energético evitado por tonelada-quilômetro transportada</t>
  </si>
  <si>
    <t>Eficiência energética</t>
  </si>
  <si>
    <t>MJ/(t.km) evitados</t>
  </si>
  <si>
    <t>MJ/t.km por célula de 100x100 m</t>
  </si>
  <si>
    <t>https://www.ipcc.ch/</t>
  </si>
  <si>
    <t>2.5.4</t>
  </si>
  <si>
    <t>Maior potencial de migração para modais mais eficientes</t>
  </si>
  <si>
    <t>Estimular a migração de carga do modal rodoviário para os modais ferroviário e hidroviário, mais sustentáveis, é objetivo ambiental central do PLI-SP 2050.</t>
  </si>
  <si>
    <t>Toneladas-quilômetro transferidas do modal rodoviário para ferrovia ou hidrovia</t>
  </si>
  <si>
    <t>Otimização da matriz modal</t>
  </si>
  <si>
    <t>% de migração rodoviário para ferroviário/hidroviário</t>
  </si>
  <si>
    <t>% de migração rodoviário para ferroviário/hidroviário por célula de 100x100 m</t>
  </si>
  <si>
    <t>2.6</t>
  </si>
  <si>
    <t>Territorial</t>
  </si>
  <si>
    <t>Agrupa critérios de conectividade, inserção espacial e integração logística.</t>
  </si>
  <si>
    <t>2.6.1</t>
  </si>
  <si>
    <t>Proximidade com segmentos de alto conflito urbano-regional</t>
  </si>
  <si>
    <t>Projetos que reduzem essa interferência melhoram a fluidez e a qualidade de vida urbana.</t>
  </si>
  <si>
    <t>Distância euclidiana ponderada pelo índice de conflito entre tráfego de passagem e tráfego local</t>
  </si>
  <si>
    <t>Conflito com o tráfego urbano e conurbações. Em conurbações, o tráfego de passagem disputa espaço com o tráfego local e gera conflito urbano-regional.</t>
  </si>
  <si>
    <t>horas de pico; índice de conflito</t>
  </si>
  <si>
    <t>horas de pico por célula de 100x100 m</t>
  </si>
  <si>
    <t>Conflito com o tráfego urbano e conurbações</t>
  </si>
  <si>
    <t>Em conurbações, o tráfego de passagem disputa espaço com o tráfego local e gera conflito urbano-regional. Projetos que reduzem essa interferência melhoram a fluidez e a qualidade de vida urbana.</t>
  </si>
  <si>
    <t>2.6.2</t>
  </si>
  <si>
    <t>Proximidade com segmentos de alta interferência urbano-portuária</t>
  </si>
  <si>
    <t>Reduzir o conflito urbano-portuário aumenta a eficiência logística e reduz as externalidades negativas.</t>
  </si>
  <si>
    <t>Distância euclidiana ponderada pelo índice de conflito urbano-portuário</t>
  </si>
  <si>
    <t>Conflito com o tráfego urbano portuário. Nas cidades portuárias, o tráfego de cargas disputa o viário urbano com a população.</t>
  </si>
  <si>
    <t>índice de interferência urbana</t>
  </si>
  <si>
    <t>índice de interferência urbana por célula de 100x100 m</t>
  </si>
  <si>
    <t>Conflito com o tráfego urbano portuário</t>
  </si>
  <si>
    <t>Nas cidades portuárias, o tráfego de cargas disputa o viário urbano com a população. Reduzir o conflito urbano-portuário aumenta a eficiência logística e reduz as externalidades negativas.</t>
  </si>
  <si>
    <t>2.6.3</t>
  </si>
  <si>
    <t>Maior acessibilidade funcional a nós intermodais estratégicos</t>
  </si>
  <si>
    <t>Projetos que conectam diferentes modais — portos, ferrovias e aeroportos — ampliam o benefício logístico do conjunto da rede, ao viabilizar cadeias de transporte integradas.</t>
  </si>
  <si>
    <t>Custo acumulado em rede até nós intermodais estratégicos</t>
  </si>
  <si>
    <t>Integração intermodal</t>
  </si>
  <si>
    <t>número de conexões modais</t>
  </si>
  <si>
    <t>2.6.4</t>
  </si>
  <si>
    <t>Maior capacidade de reduzir vazios logísticos e conectar regiões pouco integradas</t>
  </si>
  <si>
    <t>Ligações que integram regiões hoje mal conectadas reduzem vazios logísticos e ampliam a coesão territorial do Estado.</t>
  </si>
  <si>
    <t>Custo acumulado em rede entre regiões desconectadas e polos logísticos</t>
  </si>
  <si>
    <t>Conexão inter-regional e vazios logísticos</t>
  </si>
  <si>
    <t>novas ligações inter-regionais; frequência</t>
  </si>
  <si>
    <t>novas ligações inter-regionais por célula de 100x100 m</t>
  </si>
  <si>
    <t>2.6.5</t>
  </si>
  <si>
    <t>Proximidade com polos geradores e atratores de tráfego relevantes</t>
  </si>
  <si>
    <t>Considerá-los dimensiona corretamente a necessidade de capacidade.</t>
  </si>
  <si>
    <t>Distância euclidiana ponderada pelas entradas e saídas diárias dos polos geradores</t>
  </si>
  <si>
    <t>Polos atratores e geradores de tráfego. Polos atratores e geradores de tráfego — terminais, centros logísticos e grandes equipamentos urbanos — ampliam a demanda sobre a via.</t>
  </si>
  <si>
    <t>entradas e saídas de terminais por dia</t>
  </si>
  <si>
    <t>movimentos/dia por célula de 100x100 m</t>
  </si>
  <si>
    <t>Polos atratores e geradores de tráfego</t>
  </si>
  <si>
    <t>Polos atratores e geradores de tráfego — terminais, centros logísticos e grandes equipamentos urbanos — ampliam a demanda sobre a via. Considerá-los dimensiona corretamente a necessidade de capacidade.</t>
  </si>
  <si>
    <t>2.7</t>
  </si>
  <si>
    <t>Agrupa critérios de robustez e resiliência sistêmica da rede frente a eventos extremos.</t>
  </si>
  <si>
    <t>2.7.1</t>
  </si>
  <si>
    <t>Maior contribuição para resiliência da rede a eventos extremos</t>
  </si>
  <si>
    <t>Projetos que aumentam a resiliência da rede a eventos climáticos extremos (pontos de alagamento, ou Blue Spots) reduzem o risco de interrupção do tráfego e os custos de recuperação.</t>
  </si>
  <si>
    <t>Mitigação de blue spots e de redução da exposição a alagamentos críticos</t>
  </si>
  <si>
    <t>Resiliência climática (Blue Spot)</t>
  </si>
  <si>
    <t>% da rede resiliente; nº de Blue Spots mitigados</t>
  </si>
  <si>
    <t>% da rede resiliente por célula de 100x100 m</t>
  </si>
  <si>
    <t>3</t>
  </si>
  <si>
    <t>Etapa 3</t>
  </si>
  <si>
    <t>Ajuste final por prontidão, viabilidade e oportunidade. Só usa atributos intrínsecos do projeto e não reconta mérito estrutural nem restrição territorial.</t>
  </si>
  <si>
    <t>3.1</t>
  </si>
  <si>
    <t>Prontidão</t>
  </si>
  <si>
    <t>Agrupa critérios de maturidade e velocidade de entrada em operação.</t>
  </si>
  <si>
    <t>3.1.1</t>
  </si>
  <si>
    <t>Maior prontidão para implantação</t>
  </si>
  <si>
    <t>Projetos com estudos e projeto executivo mais avançados podem ser licitados e entregues mais cedo, o que antecipa os benefícios à sociedade e reduz o risco de atraso na implantação.</t>
  </si>
  <si>
    <t>Nível de maturidade do projeto</t>
  </si>
  <si>
    <t>Prontidão / maturidade do projeto</t>
  </si>
  <si>
    <t>escala: ideia, estudo, projeto básico, projeto executivo</t>
  </si>
  <si>
    <t>escala ordinal por célula de 100x100 m</t>
  </si>
  <si>
    <t>3.1.2</t>
  </si>
  <si>
    <t>Menor prazo até a entrada em operação</t>
  </si>
  <si>
    <t>O prazo de implantação é critério obrigatório de priorização (PPT, slide 3).</t>
  </si>
  <si>
    <t>Tempo estimado de implantação em meses normalizado</t>
  </si>
  <si>
    <t>Prazo para implantação. Quanto menor o prazo até a entrada em operação, mais cedo os benefícios são gerados.</t>
  </si>
  <si>
    <t>meses até a operação</t>
  </si>
  <si>
    <t>meses por célula de 100x100 m</t>
  </si>
  <si>
    <t>Prazo para implantação</t>
  </si>
  <si>
    <t>Quanto menor o prazo até a entrada em operação, mais cedo os benefícios são gerados. O prazo de implantação é critério obrigatório de priorização (PPT, slide 3).</t>
  </si>
  <si>
    <t>3.2</t>
  </si>
  <si>
    <t>Viabilidade</t>
  </si>
  <si>
    <t>Agrupa critérios de executabilidade técnica, institucional e financeira.</t>
  </si>
  <si>
    <t>3.2.1</t>
  </si>
  <si>
    <t>Menor complexidade técnica e institucional do empreendimento</t>
  </si>
  <si>
    <t>É critério obrigatório (PPT, slide 3).</t>
  </si>
  <si>
    <t>Número de disciplinas técnicas e de entes institucionais envolvidos</t>
  </si>
  <si>
    <t>Nível de complexidade. Projetos menos complexos do ponto de vista técnico e institucional tendem a ser executados com mais rapidez e menor risco, entregando resultado em prazo mais curto.</t>
  </si>
  <si>
    <t>escala qualitativa de 1 a 5</t>
  </si>
  <si>
    <t>Nível de complexidade</t>
  </si>
  <si>
    <t>Projetos menos complexos do ponto de vista técnico e institucional tendem a ser executados com mais rapidez e menor risco, entregando resultado em prazo mais curto. É critério obrigatório (PPT, slide 3).</t>
  </si>
  <si>
    <t>3.2.2</t>
  </si>
  <si>
    <t>Maior atratividade para financiamento privado</t>
  </si>
  <si>
    <t>Projetos com potencial de concessão ou de parceria público-privada permitem alavancar capital privado, o que preserva o caixa do Estado e amplia a capacidade de investimento.</t>
  </si>
  <si>
    <t>Percentual de participação privada no investimento total</t>
  </si>
  <si>
    <t>Potencial de financiamento privado / concessão</t>
  </si>
  <si>
    <t>% de alavancagem por PPP/concessão</t>
  </si>
  <si>
    <t>% de alavancagem por PPP/concessão por célula de 100x100 m</t>
  </si>
  <si>
    <t>https://ppp.worldbank.org/sites/default/files/2024-08/PPP%20Reference%20Guide%20Version%203.pdf</t>
  </si>
  <si>
    <t>3.2.3</t>
  </si>
  <si>
    <t>Maior consenso institucional para viabilização do projeto</t>
  </si>
  <si>
    <t>A convergência entre os atores institucionais envolvidos facilita a execução e reduz o risco de bloqueios políticos ou administrativos.</t>
  </si>
  <si>
    <t>Número de instituições favoráveis e formalmente aderentes ao projeto</t>
  </si>
  <si>
    <t>Consenso e apoio institucional dos atores</t>
  </si>
  <si>
    <t>grau de consenso (atores do slide 58)</t>
  </si>
  <si>
    <t>3.3</t>
  </si>
  <si>
    <t>Oportunidade</t>
  </si>
  <si>
    <t>Agrupa critérios de alinhamento estratégico e janela política-social.</t>
  </si>
  <si>
    <t>3.3.1</t>
  </si>
  <si>
    <t>Maior aderência estratégica aos planos vigentes</t>
  </si>
  <si>
    <t>A coerência do projeto com os planos vigentes — PPA, PEF, PAN e PNLT — garante legitimidade orçamentária e institucional à priorização.</t>
  </si>
  <si>
    <t>Número de planos estratégicos aos quais o projeto está aderente</t>
  </si>
  <si>
    <t>Alinhamento aos planos (PPA, PEF, PAN, PNLT)</t>
  </si>
  <si>
    <t>grau de aderência aos planos</t>
  </si>
  <si>
    <t>3.3.2</t>
  </si>
  <si>
    <t>Maior legitimidade social e participativa do empreendimento</t>
  </si>
  <si>
    <t>O volume de contribuições e de manifestações sociais recebidas confere legitimidade participativa à priorização e indica o apoio da sociedade ao projeto.</t>
  </si>
  <si>
    <t>Número de manifestações e contribuições favoráveis ao empreendimento</t>
  </si>
  <si>
    <t>Demanda social e contribuições recebidas</t>
  </si>
  <si>
    <t>número de menções e contribuições</t>
  </si>
  <si>
    <t>3.3.3</t>
  </si>
  <si>
    <t>Institucional-territorial</t>
  </si>
  <si>
    <t>Maior aderência aos planos diretores municipais</t>
  </si>
  <si>
    <t>A compatibilidade do projeto com os planos diretores municipais e com o uso do solo planejado evita conflitos futuros e confere segurança jurídica à implantação.</t>
  </si>
  <si>
    <t>grau de compatibilidade</t>
  </si>
  <si>
    <t>Aderência aos planos diretores municipais</t>
  </si>
  <si>
    <t>https://www.planalto.gov.br/ccivil_03/leis/leis_2001/l10257.htm</t>
  </si>
  <si>
    <t>Incluído na Fase 3 como ajuste de oportunidade; não constitui restrição territorial automática.</t>
  </si>
  <si>
    <t>Critério preservado na Fase 3; excluído da triagem impeditiva ordinária</t>
  </si>
  <si>
    <t>3.4</t>
  </si>
  <si>
    <t>Agrupa fatores de penalização associados à incerteza, interdependência e risco de execução do empreendimento.</t>
  </si>
  <si>
    <t>3.4.1</t>
  </si>
  <si>
    <t>Menor incerteza quanto à demanda futura do projeto</t>
  </si>
  <si>
    <t>Quanto maior a variância entre os cenários, maior a chance de o benefício previsto não se concretizar.</t>
  </si>
  <si>
    <t>Coeficiente de variação entre cenários de demanda</t>
  </si>
  <si>
    <t>Risco de demanda (incerteza de projeção). Projeções de demanda incertas elevam o risco do investimento.</t>
  </si>
  <si>
    <t>variância entre cenários de demanda</t>
  </si>
  <si>
    <t>variância por célula de 100x100 m</t>
  </si>
  <si>
    <t>https://academic.oup.com/oxrep/article-abstract/25/3/344/424009</t>
  </si>
  <si>
    <t>Risco de demanda (incerteza de projeção)</t>
  </si>
  <si>
    <t>Projeções de demanda incertas elevam o risco do investimento. Quanto maior a variância entre os cenários, maior a chance de o benefício previsto não se concretizar.</t>
  </si>
  <si>
    <t>3.4.2</t>
  </si>
  <si>
    <t>Menor risco de atraso e sobrecusto na implantação</t>
  </si>
  <si>
    <t>Projetos com esse histórico devem ser penalizados na priorização.</t>
  </si>
  <si>
    <t>Escore de risco de execução com base em desvios históricos de prazo e custo</t>
  </si>
  <si>
    <t>Risco de execução (atrasos e sobrecustos). O histórico de desvios de prazo e de custo — viés de otimismo — sinaliza maior risco de execução.</t>
  </si>
  <si>
    <t>desvio histórico de prazo e de custo</t>
  </si>
  <si>
    <t>Risco de execução (atrasos e sobrecustos)</t>
  </si>
  <si>
    <t>O histórico de desvios de prazo e de custo — viés de otimismo — sinaliza maior risco de execução. Projetos com esse histórico devem ser penalizados na priorização.</t>
  </si>
  <si>
    <t>3.4.3</t>
  </si>
  <si>
    <t>Menor carga de desapropriações e interferências físicas</t>
  </si>
  <si>
    <t>Quanto maior o número de desapropriações e de interferências, maior o risco.</t>
  </si>
  <si>
    <t>Índice de desapropriações e interferências com utilidades e outras infraestruturas</t>
  </si>
  <si>
    <t>Risco de desapropriação e interferências. Desapropriações e interferências com redes de infraestrutura são causas frequentes de atraso e de sobrecusto.</t>
  </si>
  <si>
    <t>número de desapropriações; interferências</t>
  </si>
  <si>
    <t>https://www.planalto.gov.br/ccivil_03/decreto-lei/del3365.htm</t>
  </si>
  <si>
    <t>Risco de desapropriação e interferências</t>
  </si>
  <si>
    <t>Desapropriações e interferências com redes de infraestrutura são causas frequentes de atraso e de sobrecusto. Quanto maior o número de desapropriações e de interferências, maior o risco.</t>
  </si>
  <si>
    <t>3.4.4</t>
  </si>
  <si>
    <t>Menor dependência de projetos predecessores ou de entregas externas</t>
  </si>
  <si>
    <t>Projetos cujo benefício depende da execução prévia de outros (predecessores) carregam risco maior, pois ficam reféns do cronograma dos projetos dos quais dependem.</t>
  </si>
  <si>
    <t>Índice de interdependência e de pré-requisitos críticos</t>
  </si>
  <si>
    <t>Dependência de pré-requisitos (interdependência)</t>
  </si>
  <si>
    <t>número de projetos predecessores</t>
  </si>
  <si>
    <t>Critério integrado</t>
  </si>
  <si>
    <t>Premissa integrada</t>
  </si>
  <si>
    <t>Função no fluxo</t>
  </si>
  <si>
    <t>Critério de origem 20260624</t>
  </si>
  <si>
    <t>Linha de origem</t>
  </si>
  <si>
    <t>Triagem</t>
  </si>
  <si>
    <t>Favorabilidade territorial</t>
  </si>
  <si>
    <t>Ajuste fino</t>
  </si>
  <si>
    <t>Dimensão de origem</t>
  </si>
  <si>
    <t>Critério de origem</t>
  </si>
  <si>
    <t>Destino</t>
  </si>
  <si>
    <t>Código integrado</t>
  </si>
  <si>
    <t>Tipo de correspondência</t>
  </si>
  <si>
    <t>direta</t>
  </si>
  <si>
    <t>inclusão semântica</t>
  </si>
  <si>
    <t>#</t>
  </si>
  <si>
    <t>Justificativa (com referência)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</si>
  <si>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</si>
  <si>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Socioeconômico / Financeiro / Orçamentário</t>
  </si>
  <si>
    <t>Agrupa os critérios de custo e de retorno monetário do investimento — Capex, Opex, potencial de alavancagem privada, impacto orçamentário imediato, impacto orçamentário distribuído, impacto sobre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</si>
  <si>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Economia e Competitividade</t>
  </si>
  <si>
    <t>Concentra os impactos econômicos amplos (wider economic impacts): emprego, produção, competitividade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</si>
  <si>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Reúne os critérios de equidade e de acesso — redução de desigualdades regionais, população beneficiada por tipologia estabelecida,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</si>
  <si>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</si>
  <si>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</si>
  <si>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</si>
  <si>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</si>
  <si>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</si>
  <si>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Insumo ou Indicador</t>
  </si>
  <si>
    <t>OBS</t>
  </si>
  <si>
    <t>Insumo</t>
  </si>
  <si>
    <t>Indicador</t>
  </si>
  <si>
    <t>Capacidade de Tarifação</t>
  </si>
  <si>
    <t>SOBREPOSIÇÃO COM OUTROS INDICADORES</t>
  </si>
  <si>
    <t>Impacto orçamentário imediato</t>
  </si>
  <si>
    <t>Impacto orçamentário distribuído</t>
  </si>
  <si>
    <t>Relação</t>
  </si>
  <si>
    <t>Métricas</t>
  </si>
  <si>
    <t>Origem do Dado</t>
  </si>
  <si>
    <t>PROJETO PORTO SANTOS ALTERNATIVAS .....</t>
  </si>
  <si>
    <t>PROJETO PORTO SÃO SEBASTIÃO</t>
  </si>
  <si>
    <t>PROJETO PORTO SUL</t>
  </si>
  <si>
    <t>PROJETO VIA VERDE</t>
  </si>
  <si>
    <t>PROJETO CARGAS TIC SUL</t>
  </si>
  <si>
    <t>PROJETO CARGAS TIC 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</si>
</sst>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u/>
      <sz val="11"/>
      <color rgb="FF0563C1"/>
      <name val="Calibri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A3E00"/>
      </patternFill>
    </fill>
    <fill>
      <patternFill patternType="solid">
        <fgColor rgb="FFF8FBFF"/>
      </patternFill>
    </fill>
    <fill>
      <patternFill patternType="solid">
        <fgColor rgb="FF1F4E78"/>
      </patternFill>
    </fill>
    <fill>
      <patternFill patternType="solid">
        <fgColor rgb="FF5B2C6F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45"/>
  <sheetViews>
    <sheetView showGridLines="0" tabSelected="1" topLeftCell="P1" workbookViewId="0">
      <pane ySplit="1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3" width="16" customWidth="1"/>
    <col min="4" max="4" width="18" customWidth="1"/>
    <col min="5" max="5" width="28" customWidth="1"/>
    <col min="6" max="6" width="36" customWidth="1"/>
    <col min="7" max="7" width="28" customWidth="1"/>
    <col min="8" max="8" width="18" customWidth="1"/>
    <col min="9" max="9" width="24" customWidth="1"/>
    <col min="10" max="10" width="28" customWidth="1"/>
    <col min="11" max="11" width="22" customWidth="1"/>
    <col min="12" max="12" width="26" customWidth="1"/>
    <col min="13" max="13" width="28" customWidth="1"/>
    <col min="14" max="15" width="24" customWidth="1"/>
    <col min="16" max="16" width="38" customWidth="1"/>
    <col min="17" max="17" width="24" customWidth="1"/>
    <col min="18" max="19" width="38" customWidth="1"/>
    <col min="20" max="23" width="24" customWidth="1"/>
  </cols>
  <sheetData>
    <row r="1" spans="1:23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72.5" hidden="1" x14ac:dyDescent="0.35">
      <c r="A2" s="2" t="s">
        <v>23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25</v>
      </c>
    </row>
    <row r="3" spans="1:23" ht="29" hidden="1" x14ac:dyDescent="0.35">
      <c r="A3" s="2" t="s">
        <v>26</v>
      </c>
      <c r="B3" s="2" t="s">
        <v>24</v>
      </c>
      <c r="C3" s="2" t="s">
        <v>27</v>
      </c>
      <c r="D3" s="2"/>
      <c r="E3" s="2"/>
      <c r="F3" s="2"/>
      <c r="G3" s="2"/>
      <c r="H3" s="2"/>
      <c r="I3" s="2"/>
      <c r="J3" s="2"/>
      <c r="K3" s="2"/>
      <c r="L3" s="2"/>
      <c r="M3" s="2" t="s">
        <v>28</v>
      </c>
    </row>
    <row r="4" spans="1:23" ht="43.5" x14ac:dyDescent="0.35">
      <c r="A4" s="2" t="s">
        <v>29</v>
      </c>
      <c r="B4" s="2" t="s">
        <v>24</v>
      </c>
      <c r="C4" s="2" t="s">
        <v>27</v>
      </c>
      <c r="D4" s="2" t="s">
        <v>30</v>
      </c>
      <c r="E4" s="2"/>
      <c r="F4" s="2"/>
      <c r="G4" s="2"/>
      <c r="H4" s="2"/>
      <c r="I4" s="2"/>
      <c r="J4" s="2"/>
      <c r="K4" s="2"/>
      <c r="L4" s="2"/>
      <c r="M4" s="2" t="s">
        <v>31</v>
      </c>
    </row>
    <row r="5" spans="1:23" ht="87" x14ac:dyDescent="0.35">
      <c r="A5" s="2" t="s">
        <v>32</v>
      </c>
      <c r="B5" s="2" t="s">
        <v>24</v>
      </c>
      <c r="C5" s="2" t="s">
        <v>27</v>
      </c>
      <c r="D5" s="2" t="s">
        <v>30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6" t="s">
        <v>30</v>
      </c>
      <c r="O5" s="6" t="s">
        <v>42</v>
      </c>
      <c r="P5" s="6" t="s">
        <v>43</v>
      </c>
      <c r="Q5" s="6" t="s">
        <v>44</v>
      </c>
      <c r="R5" s="6" t="s">
        <v>38</v>
      </c>
      <c r="S5" s="6" t="s">
        <v>40</v>
      </c>
      <c r="T5" s="6" t="s">
        <v>45</v>
      </c>
      <c r="U5" s="6"/>
      <c r="V5" s="6">
        <v>38</v>
      </c>
      <c r="W5" s="6" t="s">
        <v>46</v>
      </c>
    </row>
    <row r="6" spans="1:23" ht="145" x14ac:dyDescent="0.35">
      <c r="A6" s="2" t="s">
        <v>47</v>
      </c>
      <c r="B6" s="2" t="s">
        <v>24</v>
      </c>
      <c r="C6" s="2" t="s">
        <v>27</v>
      </c>
      <c r="D6" s="2" t="s">
        <v>30</v>
      </c>
      <c r="E6" s="2" t="s">
        <v>48</v>
      </c>
      <c r="F6" s="2" t="s">
        <v>49</v>
      </c>
      <c r="G6" s="2" t="s">
        <v>50</v>
      </c>
      <c r="H6" s="2" t="s">
        <v>36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55</v>
      </c>
      <c r="N6" s="6" t="s">
        <v>30</v>
      </c>
      <c r="O6" s="6" t="s">
        <v>56</v>
      </c>
      <c r="P6" s="6" t="s">
        <v>57</v>
      </c>
      <c r="Q6" s="6" t="s">
        <v>44</v>
      </c>
      <c r="R6" s="6" t="s">
        <v>58</v>
      </c>
      <c r="S6" s="6" t="s">
        <v>59</v>
      </c>
      <c r="T6" s="6" t="s">
        <v>60</v>
      </c>
      <c r="U6" s="6"/>
      <c r="V6" s="6">
        <v>37</v>
      </c>
      <c r="W6" s="6" t="s">
        <v>61</v>
      </c>
    </row>
    <row r="7" spans="1:23" ht="159.5" x14ac:dyDescent="0.35">
      <c r="A7" s="2" t="s">
        <v>62</v>
      </c>
      <c r="B7" s="2" t="s">
        <v>24</v>
      </c>
      <c r="C7" s="2" t="s">
        <v>27</v>
      </c>
      <c r="D7" s="2" t="s">
        <v>30</v>
      </c>
      <c r="E7" s="2" t="s">
        <v>63</v>
      </c>
      <c r="F7" s="2" t="s">
        <v>49</v>
      </c>
      <c r="G7" s="2" t="s">
        <v>50</v>
      </c>
      <c r="H7" s="2" t="s">
        <v>36</v>
      </c>
      <c r="I7" s="2" t="s">
        <v>64</v>
      </c>
      <c r="J7" s="2" t="s">
        <v>52</v>
      </c>
      <c r="K7" s="2" t="s">
        <v>53</v>
      </c>
      <c r="L7" s="2" t="s">
        <v>65</v>
      </c>
      <c r="M7" s="2" t="s">
        <v>66</v>
      </c>
      <c r="N7" s="6" t="s">
        <v>30</v>
      </c>
      <c r="O7" s="6" t="s">
        <v>56</v>
      </c>
      <c r="P7" s="6" t="s">
        <v>57</v>
      </c>
      <c r="Q7" s="6" t="s">
        <v>44</v>
      </c>
      <c r="R7" s="6" t="s">
        <v>58</v>
      </c>
      <c r="S7" s="6" t="s">
        <v>59</v>
      </c>
      <c r="T7" s="6" t="s">
        <v>60</v>
      </c>
      <c r="U7" s="6"/>
      <c r="V7" s="6">
        <v>37</v>
      </c>
      <c r="W7" s="6" t="s">
        <v>61</v>
      </c>
    </row>
    <row r="8" spans="1:23" ht="188.5" x14ac:dyDescent="0.35">
      <c r="A8" s="2" t="s">
        <v>67</v>
      </c>
      <c r="B8" s="2" t="s">
        <v>24</v>
      </c>
      <c r="C8" s="2" t="s">
        <v>27</v>
      </c>
      <c r="D8" s="2" t="s">
        <v>30</v>
      </c>
      <c r="E8" s="2" t="s">
        <v>68</v>
      </c>
      <c r="F8" s="2" t="s">
        <v>69</v>
      </c>
      <c r="G8" s="2" t="s">
        <v>70</v>
      </c>
      <c r="H8" s="2" t="s">
        <v>36</v>
      </c>
      <c r="I8" s="2" t="s">
        <v>71</v>
      </c>
      <c r="J8" s="2" t="s">
        <v>52</v>
      </c>
      <c r="K8" s="2" t="s">
        <v>53</v>
      </c>
      <c r="L8" s="2" t="s">
        <v>72</v>
      </c>
      <c r="M8" s="2" t="s">
        <v>73</v>
      </c>
      <c r="N8" s="6" t="s">
        <v>30</v>
      </c>
      <c r="O8" s="6" t="s">
        <v>56</v>
      </c>
      <c r="P8" s="6" t="s">
        <v>57</v>
      </c>
      <c r="Q8" s="6" t="s">
        <v>44</v>
      </c>
      <c r="R8" s="6" t="s">
        <v>58</v>
      </c>
      <c r="S8" s="6" t="s">
        <v>59</v>
      </c>
      <c r="T8" s="6" t="s">
        <v>60</v>
      </c>
      <c r="U8" s="6"/>
      <c r="V8" s="6">
        <v>37</v>
      </c>
      <c r="W8" s="6" t="s">
        <v>61</v>
      </c>
    </row>
    <row r="9" spans="1:23" ht="159.5" x14ac:dyDescent="0.35">
      <c r="A9" s="2" t="s">
        <v>74</v>
      </c>
      <c r="B9" s="2" t="s">
        <v>24</v>
      </c>
      <c r="C9" s="2" t="s">
        <v>27</v>
      </c>
      <c r="D9" s="2" t="s">
        <v>30</v>
      </c>
      <c r="E9" s="2" t="s">
        <v>75</v>
      </c>
      <c r="F9" s="2" t="s">
        <v>69</v>
      </c>
      <c r="G9" s="2" t="s">
        <v>70</v>
      </c>
      <c r="H9" s="2" t="s">
        <v>36</v>
      </c>
      <c r="I9" s="2" t="s">
        <v>76</v>
      </c>
      <c r="J9" s="2" t="s">
        <v>52</v>
      </c>
      <c r="K9" s="2" t="s">
        <v>53</v>
      </c>
      <c r="L9" s="2" t="s">
        <v>77</v>
      </c>
      <c r="M9" s="2" t="s">
        <v>78</v>
      </c>
      <c r="N9" s="6" t="s">
        <v>30</v>
      </c>
      <c r="O9" s="6" t="s">
        <v>56</v>
      </c>
      <c r="P9" s="6" t="s">
        <v>57</v>
      </c>
      <c r="Q9" s="6" t="s">
        <v>44</v>
      </c>
      <c r="R9" s="6" t="s">
        <v>58</v>
      </c>
      <c r="S9" s="6" t="s">
        <v>59</v>
      </c>
      <c r="T9" s="6" t="s">
        <v>60</v>
      </c>
      <c r="U9" s="6"/>
      <c r="V9" s="6">
        <v>37</v>
      </c>
      <c r="W9" s="6" t="s">
        <v>61</v>
      </c>
    </row>
    <row r="10" spans="1:23" ht="159.5" x14ac:dyDescent="0.35">
      <c r="A10" s="2" t="s">
        <v>79</v>
      </c>
      <c r="B10" s="2" t="s">
        <v>24</v>
      </c>
      <c r="C10" s="2" t="s">
        <v>27</v>
      </c>
      <c r="D10" s="2" t="s">
        <v>30</v>
      </c>
      <c r="E10" s="2" t="s">
        <v>80</v>
      </c>
      <c r="F10" s="2" t="s">
        <v>81</v>
      </c>
      <c r="G10" s="2" t="s">
        <v>82</v>
      </c>
      <c r="H10" s="2" t="s">
        <v>36</v>
      </c>
      <c r="I10" s="2" t="s">
        <v>83</v>
      </c>
      <c r="J10" s="2" t="s">
        <v>52</v>
      </c>
      <c r="K10" s="2" t="s">
        <v>53</v>
      </c>
      <c r="L10" s="2" t="s">
        <v>84</v>
      </c>
      <c r="M10" s="2" t="s">
        <v>85</v>
      </c>
      <c r="N10" s="6" t="s">
        <v>30</v>
      </c>
      <c r="O10" s="6" t="s">
        <v>56</v>
      </c>
      <c r="P10" s="6" t="s">
        <v>57</v>
      </c>
      <c r="Q10" s="6" t="s">
        <v>44</v>
      </c>
      <c r="R10" s="6" t="s">
        <v>58</v>
      </c>
      <c r="S10" s="6" t="s">
        <v>59</v>
      </c>
      <c r="T10" s="6" t="s">
        <v>60</v>
      </c>
      <c r="U10" s="6"/>
      <c r="V10" s="6">
        <v>37</v>
      </c>
      <c r="W10" s="6" t="s">
        <v>61</v>
      </c>
    </row>
    <row r="11" spans="1:23" ht="159.5" x14ac:dyDescent="0.35">
      <c r="A11" s="2" t="s">
        <v>86</v>
      </c>
      <c r="B11" s="2" t="s">
        <v>24</v>
      </c>
      <c r="C11" s="2" t="s">
        <v>27</v>
      </c>
      <c r="D11" s="2" t="s">
        <v>30</v>
      </c>
      <c r="E11" s="2" t="s">
        <v>87</v>
      </c>
      <c r="F11" s="2" t="s">
        <v>88</v>
      </c>
      <c r="G11" s="2" t="s">
        <v>89</v>
      </c>
      <c r="H11" s="2" t="s">
        <v>36</v>
      </c>
      <c r="I11" s="2" t="s">
        <v>90</v>
      </c>
      <c r="J11" s="2" t="s">
        <v>52</v>
      </c>
      <c r="K11" s="2" t="s">
        <v>53</v>
      </c>
      <c r="L11" s="2" t="s">
        <v>91</v>
      </c>
      <c r="M11" s="2" t="s">
        <v>92</v>
      </c>
      <c r="N11" s="6" t="s">
        <v>30</v>
      </c>
      <c r="O11" s="6" t="s">
        <v>56</v>
      </c>
      <c r="P11" s="6" t="s">
        <v>57</v>
      </c>
      <c r="Q11" s="6" t="s">
        <v>44</v>
      </c>
      <c r="R11" s="6" t="s">
        <v>58</v>
      </c>
      <c r="S11" s="6" t="s">
        <v>59</v>
      </c>
      <c r="T11" s="6" t="s">
        <v>60</v>
      </c>
      <c r="U11" s="6"/>
      <c r="V11" s="6">
        <v>37</v>
      </c>
      <c r="W11" s="6" t="s">
        <v>61</v>
      </c>
    </row>
    <row r="12" spans="1:23" ht="130.5" x14ac:dyDescent="0.35">
      <c r="A12" s="2" t="s">
        <v>93</v>
      </c>
      <c r="B12" s="2" t="s">
        <v>24</v>
      </c>
      <c r="C12" s="2" t="s">
        <v>27</v>
      </c>
      <c r="D12" s="2" t="s">
        <v>30</v>
      </c>
      <c r="E12" s="2" t="s">
        <v>94</v>
      </c>
      <c r="F12" s="2" t="s">
        <v>95</v>
      </c>
      <c r="G12" s="2" t="s">
        <v>96</v>
      </c>
      <c r="H12" s="2" t="s">
        <v>36</v>
      </c>
      <c r="I12" s="2" t="s">
        <v>97</v>
      </c>
      <c r="J12" s="2" t="s">
        <v>52</v>
      </c>
      <c r="K12" s="2" t="s">
        <v>53</v>
      </c>
      <c r="L12" s="2" t="s">
        <v>98</v>
      </c>
      <c r="M12" s="2" t="s">
        <v>99</v>
      </c>
      <c r="N12" s="6" t="s">
        <v>30</v>
      </c>
      <c r="O12" s="6" t="s">
        <v>56</v>
      </c>
      <c r="P12" s="6" t="s">
        <v>57</v>
      </c>
      <c r="Q12" s="6" t="s">
        <v>44</v>
      </c>
      <c r="R12" s="6" t="s">
        <v>58</v>
      </c>
      <c r="S12" s="6" t="s">
        <v>59</v>
      </c>
      <c r="T12" s="6" t="s">
        <v>60</v>
      </c>
      <c r="U12" s="6"/>
      <c r="V12" s="6">
        <v>37</v>
      </c>
      <c r="W12" s="6" t="s">
        <v>61</v>
      </c>
    </row>
    <row r="13" spans="1:23" ht="145" x14ac:dyDescent="0.35">
      <c r="A13" s="2" t="s">
        <v>100</v>
      </c>
      <c r="B13" s="2" t="s">
        <v>24</v>
      </c>
      <c r="C13" s="2" t="s">
        <v>27</v>
      </c>
      <c r="D13" s="2" t="s">
        <v>30</v>
      </c>
      <c r="E13" s="2" t="s">
        <v>101</v>
      </c>
      <c r="F13" s="2" t="s">
        <v>102</v>
      </c>
      <c r="G13" s="2" t="s">
        <v>103</v>
      </c>
      <c r="H13" s="2" t="s">
        <v>36</v>
      </c>
      <c r="I13" s="2" t="s">
        <v>104</v>
      </c>
      <c r="J13" s="2" t="s">
        <v>52</v>
      </c>
      <c r="K13" s="2" t="s">
        <v>53</v>
      </c>
      <c r="L13" s="2" t="s">
        <v>105</v>
      </c>
      <c r="M13" s="2" t="s">
        <v>106</v>
      </c>
      <c r="N13" s="6" t="s">
        <v>30</v>
      </c>
      <c r="O13" s="6" t="s">
        <v>56</v>
      </c>
      <c r="P13" s="6" t="s">
        <v>57</v>
      </c>
      <c r="Q13" s="6" t="s">
        <v>44</v>
      </c>
      <c r="R13" s="6" t="s">
        <v>58</v>
      </c>
      <c r="S13" s="6" t="s">
        <v>59</v>
      </c>
      <c r="T13" s="6" t="s">
        <v>60</v>
      </c>
      <c r="U13" s="6"/>
      <c r="V13" s="6">
        <v>37</v>
      </c>
      <c r="W13" s="6" t="s">
        <v>61</v>
      </c>
    </row>
    <row r="14" spans="1:23" ht="116" x14ac:dyDescent="0.35">
      <c r="A14" s="2" t="s">
        <v>107</v>
      </c>
      <c r="B14" s="2" t="s">
        <v>24</v>
      </c>
      <c r="C14" s="2" t="s">
        <v>27</v>
      </c>
      <c r="D14" s="2" t="s">
        <v>30</v>
      </c>
      <c r="E14" s="2" t="s">
        <v>108</v>
      </c>
      <c r="F14" s="2" t="s">
        <v>109</v>
      </c>
      <c r="G14" s="2" t="s">
        <v>103</v>
      </c>
      <c r="H14" s="2" t="s">
        <v>36</v>
      </c>
      <c r="I14" s="2" t="s">
        <v>110</v>
      </c>
      <c r="J14" s="2" t="s">
        <v>52</v>
      </c>
      <c r="K14" s="2" t="s">
        <v>53</v>
      </c>
      <c r="L14" s="2" t="s">
        <v>111</v>
      </c>
      <c r="M14" s="2" t="s">
        <v>112</v>
      </c>
      <c r="N14" s="6" t="s">
        <v>30</v>
      </c>
      <c r="O14" s="6" t="s">
        <v>56</v>
      </c>
      <c r="P14" s="6" t="s">
        <v>57</v>
      </c>
      <c r="Q14" s="6" t="s">
        <v>44</v>
      </c>
      <c r="R14" s="6" t="s">
        <v>58</v>
      </c>
      <c r="S14" s="6" t="s">
        <v>59</v>
      </c>
      <c r="T14" s="6" t="s">
        <v>60</v>
      </c>
      <c r="U14" s="6"/>
      <c r="V14" s="6">
        <v>37</v>
      </c>
      <c r="W14" s="6" t="s">
        <v>61</v>
      </c>
    </row>
    <row r="15" spans="1:23" ht="145" x14ac:dyDescent="0.35">
      <c r="A15" s="2" t="s">
        <v>113</v>
      </c>
      <c r="B15" s="2" t="s">
        <v>24</v>
      </c>
      <c r="C15" s="2" t="s">
        <v>27</v>
      </c>
      <c r="D15" s="2" t="s">
        <v>30</v>
      </c>
      <c r="E15" s="2" t="s">
        <v>114</v>
      </c>
      <c r="F15" s="2" t="s">
        <v>115</v>
      </c>
      <c r="G15" s="2" t="s">
        <v>116</v>
      </c>
      <c r="H15" s="2" t="s">
        <v>36</v>
      </c>
      <c r="I15" s="2" t="s">
        <v>117</v>
      </c>
      <c r="J15" s="2" t="s">
        <v>52</v>
      </c>
      <c r="K15" s="2" t="s">
        <v>53</v>
      </c>
      <c r="L15" s="2" t="s">
        <v>118</v>
      </c>
      <c r="M15" s="2" t="s">
        <v>119</v>
      </c>
    </row>
    <row r="16" spans="1:23" ht="174" x14ac:dyDescent="0.35">
      <c r="A16" s="2" t="s">
        <v>120</v>
      </c>
      <c r="B16" s="2" t="s">
        <v>24</v>
      </c>
      <c r="C16" s="2" t="s">
        <v>27</v>
      </c>
      <c r="D16" s="2" t="s">
        <v>30</v>
      </c>
      <c r="E16" s="2" t="s">
        <v>121</v>
      </c>
      <c r="F16" s="2" t="s">
        <v>122</v>
      </c>
      <c r="G16" s="2" t="s">
        <v>116</v>
      </c>
      <c r="H16" s="2" t="s">
        <v>36</v>
      </c>
      <c r="I16" s="2" t="s">
        <v>123</v>
      </c>
      <c r="J16" s="2" t="s">
        <v>52</v>
      </c>
      <c r="K16" s="2" t="s">
        <v>53</v>
      </c>
      <c r="L16" s="2" t="s">
        <v>124</v>
      </c>
      <c r="M16" s="2" t="s">
        <v>125</v>
      </c>
    </row>
    <row r="17" spans="1:23" ht="130.5" x14ac:dyDescent="0.35">
      <c r="A17" s="2" t="s">
        <v>126</v>
      </c>
      <c r="B17" s="2" t="s">
        <v>24</v>
      </c>
      <c r="C17" s="2" t="s">
        <v>27</v>
      </c>
      <c r="D17" s="2" t="s">
        <v>30</v>
      </c>
      <c r="E17" s="2" t="s">
        <v>127</v>
      </c>
      <c r="F17" s="2" t="s">
        <v>128</v>
      </c>
      <c r="G17" s="2" t="s">
        <v>129</v>
      </c>
      <c r="H17" s="2" t="s">
        <v>36</v>
      </c>
      <c r="I17" s="2" t="s">
        <v>130</v>
      </c>
      <c r="J17" s="2" t="s">
        <v>52</v>
      </c>
      <c r="K17" s="2" t="s">
        <v>53</v>
      </c>
      <c r="L17" s="2" t="s">
        <v>131</v>
      </c>
      <c r="M17" s="2" t="s">
        <v>132</v>
      </c>
    </row>
    <row r="18" spans="1:23" ht="174" x14ac:dyDescent="0.35">
      <c r="A18" s="2" t="s">
        <v>133</v>
      </c>
      <c r="B18" s="2" t="s">
        <v>24</v>
      </c>
      <c r="C18" s="2" t="s">
        <v>27</v>
      </c>
      <c r="D18" s="2" t="s">
        <v>30</v>
      </c>
      <c r="E18" s="2" t="s">
        <v>134</v>
      </c>
      <c r="F18" s="2" t="s">
        <v>128</v>
      </c>
      <c r="G18" s="2" t="s">
        <v>129</v>
      </c>
      <c r="H18" s="2" t="s">
        <v>36</v>
      </c>
      <c r="I18" s="2" t="s">
        <v>135</v>
      </c>
      <c r="J18" s="2" t="s">
        <v>52</v>
      </c>
      <c r="K18" s="2" t="s">
        <v>53</v>
      </c>
      <c r="L18" s="2" t="s">
        <v>136</v>
      </c>
      <c r="M18" s="2" t="s">
        <v>137</v>
      </c>
    </row>
    <row r="19" spans="1:23" ht="43.5" x14ac:dyDescent="0.35">
      <c r="A19" s="2" t="s">
        <v>138</v>
      </c>
      <c r="B19" s="2" t="s">
        <v>24</v>
      </c>
      <c r="C19" s="2" t="s">
        <v>27</v>
      </c>
      <c r="D19" s="2" t="s">
        <v>139</v>
      </c>
      <c r="E19" s="2"/>
      <c r="F19" s="2"/>
      <c r="G19" s="2"/>
      <c r="H19" s="2"/>
      <c r="I19" s="2"/>
      <c r="J19" s="2"/>
      <c r="K19" s="2"/>
      <c r="L19" s="2"/>
      <c r="M19" s="2" t="s">
        <v>140</v>
      </c>
    </row>
    <row r="20" spans="1:23" ht="116" x14ac:dyDescent="0.35">
      <c r="A20" s="2" t="s">
        <v>141</v>
      </c>
      <c r="B20" s="2" t="s">
        <v>24</v>
      </c>
      <c r="C20" s="2" t="s">
        <v>27</v>
      </c>
      <c r="D20" s="2" t="s">
        <v>139</v>
      </c>
      <c r="E20" s="2" t="s">
        <v>142</v>
      </c>
      <c r="F20" s="2" t="s">
        <v>143</v>
      </c>
      <c r="G20" s="2" t="s">
        <v>144</v>
      </c>
      <c r="H20" s="2" t="s">
        <v>36</v>
      </c>
      <c r="I20" s="2" t="s">
        <v>145</v>
      </c>
      <c r="J20" s="2" t="s">
        <v>52</v>
      </c>
      <c r="K20" s="2" t="s">
        <v>53</v>
      </c>
      <c r="L20" s="2" t="s">
        <v>146</v>
      </c>
      <c r="M20" s="2" t="s">
        <v>147</v>
      </c>
      <c r="N20" s="6" t="s">
        <v>148</v>
      </c>
      <c r="O20" s="6" t="s">
        <v>149</v>
      </c>
      <c r="P20" s="6" t="s">
        <v>150</v>
      </c>
      <c r="Q20" s="6" t="s">
        <v>44</v>
      </c>
      <c r="R20" s="6" t="s">
        <v>151</v>
      </c>
      <c r="S20" s="6" t="s">
        <v>152</v>
      </c>
      <c r="T20" s="6" t="s">
        <v>45</v>
      </c>
      <c r="U20" s="6"/>
      <c r="V20" s="6">
        <v>56</v>
      </c>
      <c r="W20" s="6" t="s">
        <v>153</v>
      </c>
    </row>
    <row r="21" spans="1:23" ht="116" x14ac:dyDescent="0.35">
      <c r="A21" s="2" t="s">
        <v>154</v>
      </c>
      <c r="B21" s="2" t="s">
        <v>24</v>
      </c>
      <c r="C21" s="2" t="s">
        <v>27</v>
      </c>
      <c r="D21" s="2" t="s">
        <v>139</v>
      </c>
      <c r="E21" s="2" t="s">
        <v>155</v>
      </c>
      <c r="F21" s="2" t="s">
        <v>156</v>
      </c>
      <c r="G21" s="2" t="s">
        <v>157</v>
      </c>
      <c r="H21" s="2" t="s">
        <v>36</v>
      </c>
      <c r="I21" s="2" t="s">
        <v>158</v>
      </c>
      <c r="J21" s="2" t="s">
        <v>52</v>
      </c>
      <c r="K21" s="2" t="s">
        <v>53</v>
      </c>
      <c r="L21" s="2" t="s">
        <v>159</v>
      </c>
      <c r="M21" s="2" t="s">
        <v>160</v>
      </c>
      <c r="N21" s="6" t="s">
        <v>148</v>
      </c>
      <c r="O21" s="6" t="s">
        <v>149</v>
      </c>
      <c r="P21" s="6" t="s">
        <v>150</v>
      </c>
      <c r="Q21" s="6" t="s">
        <v>44</v>
      </c>
      <c r="R21" s="6" t="s">
        <v>151</v>
      </c>
      <c r="S21" s="6" t="s">
        <v>152</v>
      </c>
      <c r="T21" s="6" t="s">
        <v>45</v>
      </c>
      <c r="U21" s="6"/>
      <c r="V21" s="6">
        <v>56</v>
      </c>
      <c r="W21" s="6" t="s">
        <v>153</v>
      </c>
    </row>
    <row r="22" spans="1:23" ht="145" x14ac:dyDescent="0.35">
      <c r="A22" s="2" t="s">
        <v>161</v>
      </c>
      <c r="B22" s="2" t="s">
        <v>24</v>
      </c>
      <c r="C22" s="2" t="s">
        <v>27</v>
      </c>
      <c r="D22" s="2" t="s">
        <v>139</v>
      </c>
      <c r="E22" s="2" t="s">
        <v>162</v>
      </c>
      <c r="F22" s="2" t="s">
        <v>156</v>
      </c>
      <c r="G22" s="2" t="s">
        <v>157</v>
      </c>
      <c r="H22" s="2" t="s">
        <v>36</v>
      </c>
      <c r="I22" s="2" t="s">
        <v>163</v>
      </c>
      <c r="J22" s="2" t="s">
        <v>52</v>
      </c>
      <c r="K22" s="2" t="s">
        <v>53</v>
      </c>
      <c r="L22" s="2" t="s">
        <v>164</v>
      </c>
      <c r="M22" s="2" t="s">
        <v>165</v>
      </c>
      <c r="N22" s="6" t="s">
        <v>148</v>
      </c>
      <c r="O22" s="6" t="s">
        <v>149</v>
      </c>
      <c r="P22" s="6" t="s">
        <v>150</v>
      </c>
      <c r="Q22" s="6" t="s">
        <v>44</v>
      </c>
      <c r="R22" s="6" t="s">
        <v>151</v>
      </c>
      <c r="S22" s="6" t="s">
        <v>152</v>
      </c>
      <c r="T22" s="6" t="s">
        <v>45</v>
      </c>
      <c r="U22" s="6"/>
      <c r="V22" s="6">
        <v>56</v>
      </c>
      <c r="W22" s="6" t="s">
        <v>153</v>
      </c>
    </row>
    <row r="23" spans="1:23" ht="145" x14ac:dyDescent="0.35">
      <c r="A23" s="2" t="s">
        <v>166</v>
      </c>
      <c r="B23" s="2" t="s">
        <v>24</v>
      </c>
      <c r="C23" s="2" t="s">
        <v>27</v>
      </c>
      <c r="D23" s="2" t="s">
        <v>139</v>
      </c>
      <c r="E23" s="2" t="s">
        <v>167</v>
      </c>
      <c r="F23" s="2" t="s">
        <v>168</v>
      </c>
      <c r="G23" s="2" t="s">
        <v>169</v>
      </c>
      <c r="H23" s="2" t="s">
        <v>36</v>
      </c>
      <c r="I23" s="2" t="s">
        <v>170</v>
      </c>
      <c r="J23" s="2" t="s">
        <v>52</v>
      </c>
      <c r="K23" s="2" t="s">
        <v>53</v>
      </c>
      <c r="L23" s="2" t="s">
        <v>171</v>
      </c>
      <c r="M23" s="2" t="s">
        <v>172</v>
      </c>
    </row>
    <row r="24" spans="1:23" ht="145" x14ac:dyDescent="0.35">
      <c r="A24" s="2" t="s">
        <v>173</v>
      </c>
      <c r="B24" s="2" t="s">
        <v>24</v>
      </c>
      <c r="C24" s="2" t="s">
        <v>27</v>
      </c>
      <c r="D24" s="2" t="s">
        <v>139</v>
      </c>
      <c r="E24" s="2" t="s">
        <v>174</v>
      </c>
      <c r="F24" s="2" t="s">
        <v>175</v>
      </c>
      <c r="G24" s="2" t="s">
        <v>169</v>
      </c>
      <c r="H24" s="2" t="s">
        <v>36</v>
      </c>
      <c r="I24" s="2" t="s">
        <v>176</v>
      </c>
      <c r="J24" s="2" t="s">
        <v>52</v>
      </c>
      <c r="K24" s="2" t="s">
        <v>53</v>
      </c>
      <c r="L24" s="2" t="s">
        <v>177</v>
      </c>
      <c r="M24" s="2" t="s">
        <v>178</v>
      </c>
    </row>
    <row r="25" spans="1:23" ht="43.5" x14ac:dyDescent="0.35">
      <c r="A25" s="2" t="s">
        <v>179</v>
      </c>
      <c r="B25" s="2" t="s">
        <v>24</v>
      </c>
      <c r="C25" s="2" t="s">
        <v>27</v>
      </c>
      <c r="D25" s="2" t="s">
        <v>180</v>
      </c>
      <c r="E25" s="2"/>
      <c r="F25" s="2"/>
      <c r="G25" s="2"/>
      <c r="H25" s="2"/>
      <c r="I25" s="2"/>
      <c r="J25" s="2"/>
      <c r="K25" s="2"/>
      <c r="L25" s="2"/>
      <c r="M25" s="2" t="s">
        <v>181</v>
      </c>
    </row>
    <row r="26" spans="1:23" ht="72.5" x14ac:dyDescent="0.35">
      <c r="A26" s="2" t="s">
        <v>182</v>
      </c>
      <c r="B26" s="2" t="s">
        <v>24</v>
      </c>
      <c r="C26" s="2" t="s">
        <v>27</v>
      </c>
      <c r="D26" s="2" t="s">
        <v>180</v>
      </c>
      <c r="E26" s="2" t="s">
        <v>183</v>
      </c>
      <c r="F26" s="2" t="s">
        <v>184</v>
      </c>
      <c r="G26" s="2" t="s">
        <v>185</v>
      </c>
      <c r="H26" s="2" t="s">
        <v>36</v>
      </c>
      <c r="I26" s="2" t="s">
        <v>186</v>
      </c>
      <c r="J26" s="2" t="s">
        <v>187</v>
      </c>
      <c r="K26" s="2" t="s">
        <v>188</v>
      </c>
      <c r="L26" s="2" t="s">
        <v>189</v>
      </c>
      <c r="M26" s="2" t="s">
        <v>190</v>
      </c>
      <c r="N26" s="6" t="s">
        <v>191</v>
      </c>
      <c r="O26" s="6" t="s">
        <v>192</v>
      </c>
      <c r="P26" s="6" t="s">
        <v>193</v>
      </c>
      <c r="Q26" s="6" t="s">
        <v>44</v>
      </c>
      <c r="R26" s="6" t="s">
        <v>187</v>
      </c>
      <c r="S26" s="6" t="s">
        <v>189</v>
      </c>
      <c r="T26" s="6" t="s">
        <v>60</v>
      </c>
      <c r="U26" s="6"/>
      <c r="V26" s="6">
        <v>47</v>
      </c>
      <c r="W26" s="6" t="s">
        <v>46</v>
      </c>
    </row>
    <row r="27" spans="1:23" ht="145" x14ac:dyDescent="0.35">
      <c r="A27" s="2" t="s">
        <v>194</v>
      </c>
      <c r="B27" s="2" t="s">
        <v>24</v>
      </c>
      <c r="C27" s="2" t="s">
        <v>27</v>
      </c>
      <c r="D27" s="2" t="s">
        <v>180</v>
      </c>
      <c r="E27" s="2" t="s">
        <v>195</v>
      </c>
      <c r="F27" s="2" t="s">
        <v>196</v>
      </c>
      <c r="G27" s="2" t="s">
        <v>197</v>
      </c>
      <c r="H27" s="2" t="s">
        <v>36</v>
      </c>
      <c r="I27" s="2" t="s">
        <v>198</v>
      </c>
      <c r="J27" s="2" t="s">
        <v>52</v>
      </c>
      <c r="K27" s="2" t="s">
        <v>53</v>
      </c>
      <c r="L27" s="2" t="s">
        <v>199</v>
      </c>
      <c r="M27" s="2" t="s">
        <v>200</v>
      </c>
    </row>
    <row r="28" spans="1:23" ht="145" x14ac:dyDescent="0.35">
      <c r="A28" s="2" t="s">
        <v>201</v>
      </c>
      <c r="B28" s="2" t="s">
        <v>24</v>
      </c>
      <c r="C28" s="2" t="s">
        <v>27</v>
      </c>
      <c r="D28" s="2" t="s">
        <v>180</v>
      </c>
      <c r="E28" s="2" t="s">
        <v>202</v>
      </c>
      <c r="F28" s="2" t="s">
        <v>196</v>
      </c>
      <c r="G28" s="2" t="s">
        <v>197</v>
      </c>
      <c r="H28" s="2" t="s">
        <v>36</v>
      </c>
      <c r="I28" s="2" t="s">
        <v>203</v>
      </c>
      <c r="J28" s="2" t="s">
        <v>52</v>
      </c>
      <c r="K28" s="2" t="s">
        <v>53</v>
      </c>
      <c r="L28" s="2" t="s">
        <v>204</v>
      </c>
      <c r="M28" s="2" t="s">
        <v>205</v>
      </c>
    </row>
    <row r="29" spans="1:23" ht="174" x14ac:dyDescent="0.35">
      <c r="A29" s="2" t="s">
        <v>206</v>
      </c>
      <c r="B29" s="2" t="s">
        <v>24</v>
      </c>
      <c r="C29" s="2" t="s">
        <v>27</v>
      </c>
      <c r="D29" s="2" t="s">
        <v>180</v>
      </c>
      <c r="E29" s="2" t="s">
        <v>207</v>
      </c>
      <c r="F29" s="2" t="s">
        <v>208</v>
      </c>
      <c r="G29" s="2" t="s">
        <v>209</v>
      </c>
      <c r="H29" s="2" t="s">
        <v>36</v>
      </c>
      <c r="I29" s="2" t="s">
        <v>210</v>
      </c>
      <c r="J29" s="2" t="s">
        <v>52</v>
      </c>
      <c r="K29" s="2" t="s">
        <v>53</v>
      </c>
      <c r="L29" s="2" t="s">
        <v>211</v>
      </c>
      <c r="M29" s="2" t="s">
        <v>212</v>
      </c>
    </row>
    <row r="30" spans="1:23" ht="29" hidden="1" x14ac:dyDescent="0.35">
      <c r="A30" s="2" t="s">
        <v>213</v>
      </c>
      <c r="B30" s="2" t="s">
        <v>24</v>
      </c>
      <c r="C30" s="2" t="s">
        <v>148</v>
      </c>
      <c r="D30" s="2"/>
      <c r="E30" s="2"/>
      <c r="F30" s="2"/>
      <c r="G30" s="2"/>
      <c r="H30" s="2"/>
      <c r="I30" s="2"/>
      <c r="J30" s="2"/>
      <c r="K30" s="2"/>
      <c r="L30" s="2"/>
      <c r="M30" s="2" t="s">
        <v>214</v>
      </c>
    </row>
    <row r="31" spans="1:23" ht="43.5" hidden="1" x14ac:dyDescent="0.35">
      <c r="A31" s="2" t="s">
        <v>215</v>
      </c>
      <c r="B31" s="2" t="s">
        <v>24</v>
      </c>
      <c r="C31" s="2" t="s">
        <v>148</v>
      </c>
      <c r="D31" s="2" t="s">
        <v>30</v>
      </c>
      <c r="E31" s="2"/>
      <c r="F31" s="2"/>
      <c r="G31" s="2"/>
      <c r="H31" s="2"/>
      <c r="I31" s="2"/>
      <c r="J31" s="2"/>
      <c r="K31" s="2"/>
      <c r="L31" s="2"/>
      <c r="M31" s="2" t="s">
        <v>216</v>
      </c>
    </row>
    <row r="32" spans="1:23" ht="145" hidden="1" x14ac:dyDescent="0.35">
      <c r="A32" s="2" t="s">
        <v>217</v>
      </c>
      <c r="B32" s="2" t="s">
        <v>24</v>
      </c>
      <c r="C32" s="2" t="s">
        <v>148</v>
      </c>
      <c r="D32" s="2" t="s">
        <v>30</v>
      </c>
      <c r="E32" s="2" t="s">
        <v>218</v>
      </c>
      <c r="F32" s="2" t="s">
        <v>219</v>
      </c>
      <c r="G32" s="2" t="s">
        <v>220</v>
      </c>
      <c r="H32" s="2" t="s">
        <v>36</v>
      </c>
      <c r="I32" s="2" t="s">
        <v>221</v>
      </c>
      <c r="J32" s="2" t="s">
        <v>222</v>
      </c>
      <c r="K32" s="2" t="s">
        <v>53</v>
      </c>
      <c r="L32" s="2" t="s">
        <v>223</v>
      </c>
      <c r="M32" s="2" t="s">
        <v>224</v>
      </c>
    </row>
    <row r="33" spans="1:13" ht="203" hidden="1" x14ac:dyDescent="0.35">
      <c r="A33" s="2" t="s">
        <v>225</v>
      </c>
      <c r="B33" s="2" t="s">
        <v>24</v>
      </c>
      <c r="C33" s="2" t="s">
        <v>148</v>
      </c>
      <c r="D33" s="2" t="s">
        <v>30</v>
      </c>
      <c r="E33" s="2" t="s">
        <v>226</v>
      </c>
      <c r="F33" s="2" t="s">
        <v>219</v>
      </c>
      <c r="G33" s="2" t="s">
        <v>220</v>
      </c>
      <c r="H33" s="2" t="s">
        <v>36</v>
      </c>
      <c r="I33" s="2" t="s">
        <v>221</v>
      </c>
      <c r="J33" s="2" t="s">
        <v>222</v>
      </c>
      <c r="K33" s="2" t="s">
        <v>53</v>
      </c>
      <c r="L33" s="2" t="s">
        <v>227</v>
      </c>
      <c r="M33" s="2" t="s">
        <v>228</v>
      </c>
    </row>
    <row r="34" spans="1:13" ht="145" hidden="1" x14ac:dyDescent="0.35">
      <c r="A34" s="2" t="s">
        <v>229</v>
      </c>
      <c r="B34" s="2" t="s">
        <v>24</v>
      </c>
      <c r="C34" s="2" t="s">
        <v>148</v>
      </c>
      <c r="D34" s="2" t="s">
        <v>30</v>
      </c>
      <c r="E34" s="2" t="s">
        <v>230</v>
      </c>
      <c r="F34" s="2" t="s">
        <v>231</v>
      </c>
      <c r="G34" s="2" t="s">
        <v>232</v>
      </c>
      <c r="H34" s="2" t="s">
        <v>36</v>
      </c>
      <c r="I34" s="2" t="s">
        <v>233</v>
      </c>
      <c r="J34" s="2" t="s">
        <v>234</v>
      </c>
      <c r="K34" s="2" t="s">
        <v>39</v>
      </c>
      <c r="L34" s="2" t="s">
        <v>235</v>
      </c>
      <c r="M34" s="2" t="s">
        <v>236</v>
      </c>
    </row>
    <row r="35" spans="1:13" ht="130.5" hidden="1" x14ac:dyDescent="0.35">
      <c r="A35" s="2" t="s">
        <v>237</v>
      </c>
      <c r="B35" s="2" t="s">
        <v>24</v>
      </c>
      <c r="C35" s="2" t="s">
        <v>148</v>
      </c>
      <c r="D35" s="2" t="s">
        <v>30</v>
      </c>
      <c r="E35" s="2" t="s">
        <v>238</v>
      </c>
      <c r="F35" s="2" t="s">
        <v>239</v>
      </c>
      <c r="G35" s="2" t="s">
        <v>240</v>
      </c>
      <c r="H35" s="2" t="s">
        <v>36</v>
      </c>
      <c r="I35" s="2" t="s">
        <v>241</v>
      </c>
      <c r="J35" s="2" t="s">
        <v>234</v>
      </c>
      <c r="K35" s="2" t="s">
        <v>39</v>
      </c>
      <c r="L35" s="2" t="s">
        <v>242</v>
      </c>
      <c r="M35" s="2" t="s">
        <v>243</v>
      </c>
    </row>
    <row r="36" spans="1:13" ht="145" hidden="1" x14ac:dyDescent="0.35">
      <c r="A36" s="2" t="s">
        <v>244</v>
      </c>
      <c r="B36" s="2" t="s">
        <v>24</v>
      </c>
      <c r="C36" s="2" t="s">
        <v>148</v>
      </c>
      <c r="D36" s="2" t="s">
        <v>30</v>
      </c>
      <c r="E36" s="2" t="s">
        <v>245</v>
      </c>
      <c r="F36" s="2" t="s">
        <v>246</v>
      </c>
      <c r="G36" s="2" t="s">
        <v>247</v>
      </c>
      <c r="H36" s="2" t="s">
        <v>36</v>
      </c>
      <c r="I36" s="2" t="s">
        <v>248</v>
      </c>
      <c r="J36" s="2" t="s">
        <v>234</v>
      </c>
      <c r="K36" s="2" t="s">
        <v>39</v>
      </c>
      <c r="L36" s="2" t="s">
        <v>249</v>
      </c>
      <c r="M36" s="2" t="s">
        <v>250</v>
      </c>
    </row>
    <row r="37" spans="1:13" ht="43.5" hidden="1" x14ac:dyDescent="0.35">
      <c r="A37" s="2" t="s">
        <v>251</v>
      </c>
      <c r="B37" s="2" t="s">
        <v>24</v>
      </c>
      <c r="C37" s="2" t="s">
        <v>148</v>
      </c>
      <c r="D37" s="2" t="s">
        <v>139</v>
      </c>
      <c r="E37" s="2"/>
      <c r="F37" s="2"/>
      <c r="G37" s="2"/>
      <c r="H37" s="2"/>
      <c r="I37" s="2"/>
      <c r="J37" s="2"/>
      <c r="K37" s="2"/>
      <c r="L37" s="2"/>
      <c r="M37" s="2" t="s">
        <v>252</v>
      </c>
    </row>
    <row r="38" spans="1:13" ht="159.5" hidden="1" x14ac:dyDescent="0.35">
      <c r="A38" s="2" t="s">
        <v>253</v>
      </c>
      <c r="B38" s="2" t="s">
        <v>24</v>
      </c>
      <c r="C38" s="2" t="s">
        <v>148</v>
      </c>
      <c r="D38" s="2" t="s">
        <v>139</v>
      </c>
      <c r="E38" s="2" t="s">
        <v>254</v>
      </c>
      <c r="F38" s="2" t="s">
        <v>255</v>
      </c>
      <c r="G38" s="2" t="s">
        <v>256</v>
      </c>
      <c r="H38" s="2" t="s">
        <v>36</v>
      </c>
      <c r="I38" s="2" t="s">
        <v>257</v>
      </c>
      <c r="J38" s="2" t="s">
        <v>222</v>
      </c>
      <c r="K38" s="2" t="s">
        <v>53</v>
      </c>
      <c r="L38" s="2" t="s">
        <v>258</v>
      </c>
      <c r="M38" s="2" t="s">
        <v>259</v>
      </c>
    </row>
    <row r="39" spans="1:13" ht="145" hidden="1" x14ac:dyDescent="0.35">
      <c r="A39" s="2" t="s">
        <v>260</v>
      </c>
      <c r="B39" s="2" t="s">
        <v>24</v>
      </c>
      <c r="C39" s="2" t="s">
        <v>148</v>
      </c>
      <c r="D39" s="2" t="s">
        <v>139</v>
      </c>
      <c r="E39" s="2" t="s">
        <v>261</v>
      </c>
      <c r="F39" s="2" t="s">
        <v>262</v>
      </c>
      <c r="G39" s="2" t="s">
        <v>256</v>
      </c>
      <c r="H39" s="2" t="s">
        <v>36</v>
      </c>
      <c r="I39" s="2" t="s">
        <v>263</v>
      </c>
      <c r="J39" s="2" t="s">
        <v>222</v>
      </c>
      <c r="K39" s="2" t="s">
        <v>53</v>
      </c>
      <c r="L39" s="2" t="s">
        <v>264</v>
      </c>
      <c r="M39" s="2" t="s">
        <v>265</v>
      </c>
    </row>
    <row r="40" spans="1:13" ht="116" hidden="1" x14ac:dyDescent="0.35">
      <c r="A40" s="2" t="s">
        <v>266</v>
      </c>
      <c r="B40" s="2" t="s">
        <v>24</v>
      </c>
      <c r="C40" s="2" t="s">
        <v>148</v>
      </c>
      <c r="D40" s="2" t="s">
        <v>139</v>
      </c>
      <c r="E40" s="2" t="s">
        <v>267</v>
      </c>
      <c r="F40" s="2" t="s">
        <v>268</v>
      </c>
      <c r="G40" s="2" t="s">
        <v>269</v>
      </c>
      <c r="H40" s="2" t="s">
        <v>36</v>
      </c>
      <c r="I40" s="2" t="s">
        <v>270</v>
      </c>
      <c r="J40" s="2" t="s">
        <v>222</v>
      </c>
      <c r="K40" s="2" t="s">
        <v>53</v>
      </c>
      <c r="L40" s="2" t="s">
        <v>271</v>
      </c>
      <c r="M40" s="2" t="s">
        <v>272</v>
      </c>
    </row>
    <row r="41" spans="1:13" ht="145" hidden="1" x14ac:dyDescent="0.35">
      <c r="A41" s="2" t="s">
        <v>273</v>
      </c>
      <c r="B41" s="2" t="s">
        <v>24</v>
      </c>
      <c r="C41" s="2" t="s">
        <v>148</v>
      </c>
      <c r="D41" s="2" t="s">
        <v>139</v>
      </c>
      <c r="E41" s="2" t="s">
        <v>274</v>
      </c>
      <c r="F41" s="2" t="s">
        <v>275</v>
      </c>
      <c r="G41" s="2" t="s">
        <v>269</v>
      </c>
      <c r="H41" s="2" t="s">
        <v>36</v>
      </c>
      <c r="I41" s="2" t="s">
        <v>276</v>
      </c>
      <c r="J41" s="2" t="s">
        <v>222</v>
      </c>
      <c r="K41" s="2" t="s">
        <v>53</v>
      </c>
      <c r="L41" s="2" t="s">
        <v>277</v>
      </c>
      <c r="M41" s="2" t="s">
        <v>278</v>
      </c>
    </row>
    <row r="42" spans="1:13" ht="43.5" hidden="1" x14ac:dyDescent="0.35">
      <c r="A42" s="2" t="s">
        <v>279</v>
      </c>
      <c r="B42" s="2" t="s">
        <v>24</v>
      </c>
      <c r="C42" s="2" t="s">
        <v>148</v>
      </c>
      <c r="D42" s="2" t="s">
        <v>280</v>
      </c>
      <c r="E42" s="2"/>
      <c r="F42" s="2"/>
      <c r="G42" s="2"/>
      <c r="H42" s="2"/>
      <c r="I42" s="2"/>
      <c r="J42" s="2"/>
      <c r="K42" s="2"/>
      <c r="L42" s="2"/>
      <c r="M42" s="2" t="s">
        <v>281</v>
      </c>
    </row>
    <row r="43" spans="1:13" ht="159.5" hidden="1" x14ac:dyDescent="0.35">
      <c r="A43" s="2" t="s">
        <v>282</v>
      </c>
      <c r="B43" s="2" t="s">
        <v>24</v>
      </c>
      <c r="C43" s="2" t="s">
        <v>148</v>
      </c>
      <c r="D43" s="2" t="s">
        <v>280</v>
      </c>
      <c r="E43" s="2" t="s">
        <v>283</v>
      </c>
      <c r="F43" s="2" t="s">
        <v>284</v>
      </c>
      <c r="G43" s="2" t="s">
        <v>285</v>
      </c>
      <c r="H43" s="2" t="s">
        <v>36</v>
      </c>
      <c r="I43" s="2" t="s">
        <v>286</v>
      </c>
      <c r="J43" s="2" t="s">
        <v>222</v>
      </c>
      <c r="K43" s="2" t="s">
        <v>53</v>
      </c>
      <c r="L43" s="2" t="s">
        <v>287</v>
      </c>
      <c r="M43" s="2" t="s">
        <v>288</v>
      </c>
    </row>
    <row r="44" spans="1:13" ht="188.5" hidden="1" x14ac:dyDescent="0.35">
      <c r="A44" s="2" t="s">
        <v>289</v>
      </c>
      <c r="B44" s="2" t="s">
        <v>24</v>
      </c>
      <c r="C44" s="2" t="s">
        <v>148</v>
      </c>
      <c r="D44" s="2" t="s">
        <v>280</v>
      </c>
      <c r="E44" s="2" t="s">
        <v>290</v>
      </c>
      <c r="F44" s="2" t="s">
        <v>284</v>
      </c>
      <c r="G44" s="2" t="s">
        <v>285</v>
      </c>
      <c r="H44" s="2" t="s">
        <v>36</v>
      </c>
      <c r="I44" s="2" t="s">
        <v>291</v>
      </c>
      <c r="J44" s="2" t="s">
        <v>222</v>
      </c>
      <c r="K44" s="2" t="s">
        <v>53</v>
      </c>
      <c r="L44" s="2" t="s">
        <v>292</v>
      </c>
      <c r="M44" s="2" t="s">
        <v>293</v>
      </c>
    </row>
    <row r="45" spans="1:13" ht="174" hidden="1" x14ac:dyDescent="0.35">
      <c r="A45" s="2" t="s">
        <v>294</v>
      </c>
      <c r="B45" s="2" t="s">
        <v>24</v>
      </c>
      <c r="C45" s="2" t="s">
        <v>148</v>
      </c>
      <c r="D45" s="2" t="s">
        <v>280</v>
      </c>
      <c r="E45" s="2" t="s">
        <v>295</v>
      </c>
      <c r="F45" s="2" t="s">
        <v>296</v>
      </c>
      <c r="G45" s="2" t="s">
        <v>297</v>
      </c>
      <c r="H45" s="2" t="s">
        <v>36</v>
      </c>
      <c r="I45" s="2" t="s">
        <v>298</v>
      </c>
      <c r="J45" s="2" t="s">
        <v>222</v>
      </c>
      <c r="K45" s="2" t="s">
        <v>53</v>
      </c>
      <c r="L45" s="2" t="s">
        <v>299</v>
      </c>
      <c r="M45" s="2" t="s">
        <v>300</v>
      </c>
    </row>
  </sheetData>
  <autoFilter ref="A1:W45" xr:uid="{00000000-0009-0000-0000-000000000000}">
    <filterColumn colId="2">
      <filters>
        <filter val="Restrição"/>
      </filters>
    </filterColumn>
    <filterColumn colId="3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2" customWidth="1"/>
    <col min="2" max="3" width="16" customWidth="1"/>
    <col min="4" max="4" width="18" customWidth="1"/>
    <col min="5" max="5" width="28" customWidth="1"/>
    <col min="6" max="6" width="36" customWidth="1"/>
    <col min="7" max="7" width="28" customWidth="1"/>
    <col min="8" max="8" width="18" customWidth="1"/>
    <col min="9" max="9" width="24" customWidth="1"/>
    <col min="10" max="10" width="28" customWidth="1"/>
    <col min="11" max="11" width="22" customWidth="1"/>
    <col min="12" max="12" width="26" customWidth="1"/>
    <col min="13" max="13" width="28" customWidth="1"/>
    <col min="14" max="15" width="24" customWidth="1"/>
    <col min="16" max="16" width="38" customWidth="1"/>
    <col min="17" max="17" width="24" customWidth="1"/>
    <col min="18" max="19" width="38" customWidth="1"/>
    <col min="20" max="23" width="24" customWidth="1"/>
  </cols>
  <sheetData>
    <row r="1" spans="1:23" ht="42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87" x14ac:dyDescent="0.35">
      <c r="A2" s="2" t="s">
        <v>301</v>
      </c>
      <c r="B2" s="2" t="s">
        <v>302</v>
      </c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303</v>
      </c>
    </row>
    <row r="3" spans="1:23" ht="43.5" x14ac:dyDescent="0.35">
      <c r="A3" s="2" t="s">
        <v>304</v>
      </c>
      <c r="B3" s="2" t="s">
        <v>302</v>
      </c>
      <c r="C3" s="2"/>
      <c r="D3" s="2" t="s">
        <v>305</v>
      </c>
      <c r="E3" s="2"/>
      <c r="F3" s="2"/>
      <c r="G3" s="2"/>
      <c r="H3" s="2"/>
      <c r="I3" s="2"/>
      <c r="J3" s="2"/>
      <c r="K3" s="2"/>
      <c r="L3" s="2"/>
      <c r="M3" s="2" t="s">
        <v>306</v>
      </c>
    </row>
    <row r="4" spans="1:23" ht="101.5" x14ac:dyDescent="0.35">
      <c r="A4" s="2" t="s">
        <v>307</v>
      </c>
      <c r="B4" s="2" t="s">
        <v>302</v>
      </c>
      <c r="C4" s="2"/>
      <c r="D4" s="2" t="s">
        <v>305</v>
      </c>
      <c r="E4" s="2" t="s">
        <v>308</v>
      </c>
      <c r="F4" s="2" t="s">
        <v>309</v>
      </c>
      <c r="G4" s="2" t="s">
        <v>310</v>
      </c>
      <c r="H4" s="2" t="s">
        <v>311</v>
      </c>
      <c r="I4" s="2" t="s">
        <v>312</v>
      </c>
      <c r="J4" s="2" t="s">
        <v>313</v>
      </c>
      <c r="K4" s="2" t="s">
        <v>314</v>
      </c>
      <c r="L4" s="2" t="s">
        <v>315</v>
      </c>
      <c r="M4" s="2" t="s">
        <v>316</v>
      </c>
      <c r="N4" s="6" t="s">
        <v>305</v>
      </c>
      <c r="O4" s="6" t="s">
        <v>317</v>
      </c>
      <c r="P4" s="6" t="s">
        <v>318</v>
      </c>
      <c r="Q4" s="6" t="s">
        <v>319</v>
      </c>
      <c r="R4" s="6" t="s">
        <v>313</v>
      </c>
      <c r="S4" s="6" t="s">
        <v>315</v>
      </c>
      <c r="T4" s="6" t="s">
        <v>45</v>
      </c>
      <c r="U4" s="6"/>
      <c r="V4" s="6">
        <v>2</v>
      </c>
      <c r="W4" s="6" t="s">
        <v>46</v>
      </c>
    </row>
    <row r="5" spans="1:23" ht="87" x14ac:dyDescent="0.35">
      <c r="A5" s="2" t="s">
        <v>320</v>
      </c>
      <c r="B5" s="2" t="s">
        <v>302</v>
      </c>
      <c r="C5" s="2"/>
      <c r="D5" s="2" t="s">
        <v>305</v>
      </c>
      <c r="E5" s="2" t="s">
        <v>321</v>
      </c>
      <c r="F5" s="2" t="s">
        <v>322</v>
      </c>
      <c r="G5" s="2" t="s">
        <v>323</v>
      </c>
      <c r="H5" s="2" t="s">
        <v>36</v>
      </c>
      <c r="I5" s="2" t="s">
        <v>324</v>
      </c>
      <c r="J5" s="2" t="s">
        <v>325</v>
      </c>
      <c r="K5" s="2" t="s">
        <v>326</v>
      </c>
      <c r="L5" s="2" t="s">
        <v>327</v>
      </c>
      <c r="M5" s="2" t="s">
        <v>316</v>
      </c>
      <c r="N5" s="6" t="s">
        <v>305</v>
      </c>
      <c r="O5" s="6" t="s">
        <v>328</v>
      </c>
      <c r="P5" s="6" t="s">
        <v>329</v>
      </c>
      <c r="Q5" s="6" t="s">
        <v>44</v>
      </c>
      <c r="R5" s="6" t="s">
        <v>325</v>
      </c>
      <c r="S5" s="6" t="s">
        <v>327</v>
      </c>
      <c r="T5" s="6" t="s">
        <v>45</v>
      </c>
      <c r="U5" s="6" t="s">
        <v>330</v>
      </c>
      <c r="V5" s="6">
        <v>3</v>
      </c>
      <c r="W5" s="6" t="s">
        <v>46</v>
      </c>
    </row>
    <row r="6" spans="1:23" ht="116" x14ac:dyDescent="0.35">
      <c r="A6" s="2" t="s">
        <v>331</v>
      </c>
      <c r="B6" s="2" t="s">
        <v>302</v>
      </c>
      <c r="C6" s="2"/>
      <c r="D6" s="2" t="s">
        <v>305</v>
      </c>
      <c r="E6" s="2" t="s">
        <v>332</v>
      </c>
      <c r="F6" s="2" t="s">
        <v>333</v>
      </c>
      <c r="G6" s="2" t="s">
        <v>334</v>
      </c>
      <c r="H6" s="2" t="s">
        <v>36</v>
      </c>
      <c r="I6" s="2" t="s">
        <v>335</v>
      </c>
      <c r="J6" s="2" t="s">
        <v>336</v>
      </c>
      <c r="K6" s="2" t="s">
        <v>337</v>
      </c>
      <c r="L6" s="2" t="s">
        <v>315</v>
      </c>
      <c r="M6" s="2" t="s">
        <v>316</v>
      </c>
      <c r="N6" s="6" t="s">
        <v>305</v>
      </c>
      <c r="O6" s="6" t="s">
        <v>338</v>
      </c>
      <c r="P6" s="6" t="s">
        <v>339</v>
      </c>
      <c r="Q6" s="6" t="s">
        <v>44</v>
      </c>
      <c r="R6" s="6" t="s">
        <v>336</v>
      </c>
      <c r="S6" s="6" t="s">
        <v>315</v>
      </c>
      <c r="T6" s="6" t="s">
        <v>45</v>
      </c>
      <c r="U6" s="6" t="s">
        <v>340</v>
      </c>
      <c r="V6" s="6">
        <v>4</v>
      </c>
      <c r="W6" s="6" t="s">
        <v>46</v>
      </c>
    </row>
    <row r="7" spans="1:23" ht="101.5" x14ac:dyDescent="0.35">
      <c r="A7" s="2" t="s">
        <v>341</v>
      </c>
      <c r="B7" s="2" t="s">
        <v>302</v>
      </c>
      <c r="C7" s="2"/>
      <c r="D7" s="2" t="s">
        <v>305</v>
      </c>
      <c r="E7" s="2" t="s">
        <v>342</v>
      </c>
      <c r="F7" s="2" t="s">
        <v>343</v>
      </c>
      <c r="G7" s="2" t="s">
        <v>344</v>
      </c>
      <c r="H7" s="2" t="s">
        <v>36</v>
      </c>
      <c r="I7" s="2" t="s">
        <v>345</v>
      </c>
      <c r="J7" s="2" t="s">
        <v>346</v>
      </c>
      <c r="K7" s="2" t="s">
        <v>347</v>
      </c>
      <c r="L7" s="2" t="s">
        <v>348</v>
      </c>
      <c r="M7" s="2" t="s">
        <v>316</v>
      </c>
      <c r="N7" s="6" t="s">
        <v>305</v>
      </c>
      <c r="O7" s="6" t="s">
        <v>349</v>
      </c>
      <c r="P7" s="6" t="s">
        <v>350</v>
      </c>
      <c r="Q7" s="6" t="s">
        <v>44</v>
      </c>
      <c r="R7" s="6" t="s">
        <v>346</v>
      </c>
      <c r="S7" s="6" t="s">
        <v>348</v>
      </c>
      <c r="T7" s="6" t="s">
        <v>45</v>
      </c>
      <c r="U7" s="6" t="s">
        <v>340</v>
      </c>
      <c r="V7" s="6">
        <v>5</v>
      </c>
      <c r="W7" s="6" t="s">
        <v>46</v>
      </c>
    </row>
    <row r="8" spans="1:23" ht="116" x14ac:dyDescent="0.35">
      <c r="A8" s="2" t="s">
        <v>351</v>
      </c>
      <c r="B8" s="2" t="s">
        <v>302</v>
      </c>
      <c r="C8" s="2"/>
      <c r="D8" s="2" t="s">
        <v>305</v>
      </c>
      <c r="E8" s="2" t="s">
        <v>352</v>
      </c>
      <c r="F8" s="2" t="s">
        <v>353</v>
      </c>
      <c r="G8" s="2" t="s">
        <v>354</v>
      </c>
      <c r="H8" s="2" t="s">
        <v>36</v>
      </c>
      <c r="I8" s="2" t="s">
        <v>355</v>
      </c>
      <c r="J8" s="2" t="s">
        <v>356</v>
      </c>
      <c r="K8" s="2" t="s">
        <v>357</v>
      </c>
      <c r="L8" s="2" t="s">
        <v>358</v>
      </c>
      <c r="M8" s="2" t="s">
        <v>316</v>
      </c>
      <c r="N8" s="6" t="s">
        <v>305</v>
      </c>
      <c r="O8" s="6" t="s">
        <v>359</v>
      </c>
      <c r="P8" s="6" t="s">
        <v>360</v>
      </c>
      <c r="Q8" s="6" t="s">
        <v>44</v>
      </c>
      <c r="R8" s="6" t="s">
        <v>356</v>
      </c>
      <c r="S8" s="6" t="s">
        <v>358</v>
      </c>
      <c r="T8" s="6" t="s">
        <v>45</v>
      </c>
      <c r="U8" s="6" t="s">
        <v>340</v>
      </c>
      <c r="V8" s="6">
        <v>6</v>
      </c>
      <c r="W8" s="6" t="s">
        <v>46</v>
      </c>
    </row>
    <row r="9" spans="1:23" ht="130.5" x14ac:dyDescent="0.35">
      <c r="A9" s="2" t="s">
        <v>361</v>
      </c>
      <c r="B9" s="2" t="s">
        <v>302</v>
      </c>
      <c r="C9" s="2"/>
      <c r="D9" s="2" t="s">
        <v>305</v>
      </c>
      <c r="E9" s="2" t="s">
        <v>362</v>
      </c>
      <c r="F9" s="2" t="s">
        <v>363</v>
      </c>
      <c r="G9" s="2" t="s">
        <v>364</v>
      </c>
      <c r="H9" s="2" t="s">
        <v>36</v>
      </c>
      <c r="I9" s="2" t="s">
        <v>365</v>
      </c>
      <c r="J9" s="2" t="s">
        <v>366</v>
      </c>
      <c r="K9" s="2" t="s">
        <v>367</v>
      </c>
      <c r="L9" s="2" t="s">
        <v>327</v>
      </c>
      <c r="M9" s="2" t="s">
        <v>316</v>
      </c>
      <c r="N9" s="6" t="s">
        <v>305</v>
      </c>
      <c r="O9" s="6" t="s">
        <v>368</v>
      </c>
      <c r="P9" s="6" t="s">
        <v>369</v>
      </c>
      <c r="Q9" s="6" t="s">
        <v>44</v>
      </c>
      <c r="R9" s="6" t="s">
        <v>366</v>
      </c>
      <c r="S9" s="6" t="s">
        <v>327</v>
      </c>
      <c r="T9" s="6" t="s">
        <v>45</v>
      </c>
      <c r="U9" s="6"/>
      <c r="V9" s="6">
        <v>8</v>
      </c>
      <c r="W9" s="6" t="s">
        <v>46</v>
      </c>
    </row>
    <row r="10" spans="1:23" ht="43.5" x14ac:dyDescent="0.35">
      <c r="A10" s="2" t="s">
        <v>370</v>
      </c>
      <c r="B10" s="2" t="s">
        <v>302</v>
      </c>
      <c r="C10" s="2"/>
      <c r="D10" s="2" t="s">
        <v>371</v>
      </c>
      <c r="E10" s="2"/>
      <c r="F10" s="2"/>
      <c r="G10" s="2"/>
      <c r="H10" s="2"/>
      <c r="I10" s="2"/>
      <c r="J10" s="2"/>
      <c r="K10" s="2"/>
      <c r="L10" s="2"/>
      <c r="M10" s="2" t="s">
        <v>372</v>
      </c>
    </row>
    <row r="11" spans="1:23" ht="87" x14ac:dyDescent="0.35">
      <c r="A11" s="2" t="s">
        <v>373</v>
      </c>
      <c r="B11" s="2" t="s">
        <v>302</v>
      </c>
      <c r="C11" s="2"/>
      <c r="D11" s="2" t="s">
        <v>371</v>
      </c>
      <c r="E11" s="2" t="s">
        <v>374</v>
      </c>
      <c r="F11" s="2" t="s">
        <v>375</v>
      </c>
      <c r="G11" s="2" t="s">
        <v>376</v>
      </c>
      <c r="H11" s="2" t="s">
        <v>36</v>
      </c>
      <c r="I11" s="2" t="s">
        <v>377</v>
      </c>
      <c r="J11" s="2" t="s">
        <v>378</v>
      </c>
      <c r="K11" s="2" t="s">
        <v>379</v>
      </c>
      <c r="L11" s="2" t="s">
        <v>380</v>
      </c>
      <c r="M11" s="2" t="s">
        <v>41</v>
      </c>
      <c r="N11" s="6" t="s">
        <v>381</v>
      </c>
      <c r="O11" s="6" t="s">
        <v>382</v>
      </c>
      <c r="P11" s="6" t="s">
        <v>383</v>
      </c>
      <c r="Q11" s="6" t="s">
        <v>44</v>
      </c>
      <c r="R11" s="6" t="s">
        <v>378</v>
      </c>
      <c r="S11" s="6" t="s">
        <v>380</v>
      </c>
      <c r="T11" s="6" t="s">
        <v>45</v>
      </c>
      <c r="U11" s="6"/>
      <c r="V11" s="6">
        <v>9</v>
      </c>
      <c r="W11" s="6" t="s">
        <v>46</v>
      </c>
    </row>
    <row r="12" spans="1:23" ht="87" x14ac:dyDescent="0.35">
      <c r="A12" s="2" t="s">
        <v>384</v>
      </c>
      <c r="B12" s="2" t="s">
        <v>302</v>
      </c>
      <c r="C12" s="2"/>
      <c r="D12" s="2" t="s">
        <v>371</v>
      </c>
      <c r="E12" s="2" t="s">
        <v>385</v>
      </c>
      <c r="F12" s="2" t="s">
        <v>386</v>
      </c>
      <c r="G12" s="2" t="s">
        <v>387</v>
      </c>
      <c r="H12" s="2" t="s">
        <v>36</v>
      </c>
      <c r="I12" s="2" t="s">
        <v>388</v>
      </c>
      <c r="J12" s="2" t="s">
        <v>389</v>
      </c>
      <c r="K12" s="2" t="s">
        <v>390</v>
      </c>
      <c r="L12" s="2" t="s">
        <v>348</v>
      </c>
      <c r="M12" s="2" t="s">
        <v>41</v>
      </c>
      <c r="N12" s="6" t="s">
        <v>381</v>
      </c>
      <c r="O12" s="6" t="s">
        <v>391</v>
      </c>
      <c r="P12" s="6" t="s">
        <v>392</v>
      </c>
      <c r="Q12" s="6" t="s">
        <v>44</v>
      </c>
      <c r="R12" s="6" t="s">
        <v>389</v>
      </c>
      <c r="S12" s="6" t="s">
        <v>348</v>
      </c>
      <c r="T12" s="6" t="s">
        <v>45</v>
      </c>
      <c r="U12" s="6"/>
      <c r="V12" s="6">
        <v>10</v>
      </c>
      <c r="W12" s="6" t="s">
        <v>46</v>
      </c>
    </row>
    <row r="13" spans="1:23" ht="87" x14ac:dyDescent="0.35">
      <c r="A13" s="2" t="s">
        <v>393</v>
      </c>
      <c r="B13" s="2" t="s">
        <v>302</v>
      </c>
      <c r="C13" s="2"/>
      <c r="D13" s="2" t="s">
        <v>371</v>
      </c>
      <c r="E13" s="2" t="s">
        <v>394</v>
      </c>
      <c r="F13" s="2" t="s">
        <v>395</v>
      </c>
      <c r="G13" s="2" t="s">
        <v>396</v>
      </c>
      <c r="H13" s="2" t="s">
        <v>311</v>
      </c>
      <c r="I13" s="2" t="s">
        <v>397</v>
      </c>
      <c r="J13" s="2" t="s">
        <v>398</v>
      </c>
      <c r="K13" s="2" t="s">
        <v>399</v>
      </c>
      <c r="L13" s="2" t="s">
        <v>400</v>
      </c>
      <c r="M13" s="2" t="s">
        <v>41</v>
      </c>
      <c r="N13" s="6" t="s">
        <v>381</v>
      </c>
      <c r="O13" s="6" t="s">
        <v>401</v>
      </c>
      <c r="P13" s="6" t="s">
        <v>402</v>
      </c>
      <c r="Q13" s="6" t="s">
        <v>319</v>
      </c>
      <c r="R13" s="6" t="s">
        <v>398</v>
      </c>
      <c r="S13" s="6" t="s">
        <v>400</v>
      </c>
      <c r="T13" s="6" t="s">
        <v>45</v>
      </c>
      <c r="U13" s="6"/>
      <c r="V13" s="6">
        <v>11</v>
      </c>
      <c r="W13" s="6" t="s">
        <v>46</v>
      </c>
    </row>
    <row r="14" spans="1:23" ht="130.5" x14ac:dyDescent="0.35">
      <c r="A14" s="2" t="s">
        <v>403</v>
      </c>
      <c r="B14" s="2" t="s">
        <v>302</v>
      </c>
      <c r="C14" s="2"/>
      <c r="D14" s="2" t="s">
        <v>371</v>
      </c>
      <c r="E14" s="2" t="s">
        <v>404</v>
      </c>
      <c r="F14" s="2" t="s">
        <v>405</v>
      </c>
      <c r="G14" s="2" t="s">
        <v>406</v>
      </c>
      <c r="H14" s="2" t="s">
        <v>36</v>
      </c>
      <c r="I14" s="2" t="s">
        <v>407</v>
      </c>
      <c r="J14" s="2" t="s">
        <v>408</v>
      </c>
      <c r="K14" s="2" t="s">
        <v>409</v>
      </c>
      <c r="L14" s="2" t="s">
        <v>410</v>
      </c>
      <c r="M14" s="2" t="s">
        <v>411</v>
      </c>
      <c r="N14" s="6" t="s">
        <v>381</v>
      </c>
      <c r="O14" s="6" t="s">
        <v>412</v>
      </c>
      <c r="P14" s="6" t="s">
        <v>413</v>
      </c>
      <c r="Q14" s="6" t="s">
        <v>44</v>
      </c>
      <c r="R14" s="6" t="s">
        <v>408</v>
      </c>
      <c r="S14" s="6" t="s">
        <v>410</v>
      </c>
      <c r="T14" s="6" t="s">
        <v>45</v>
      </c>
      <c r="U14" s="6"/>
      <c r="V14" s="6">
        <v>13</v>
      </c>
      <c r="W14" s="6" t="s">
        <v>46</v>
      </c>
    </row>
    <row r="15" spans="1:23" ht="87" x14ac:dyDescent="0.35">
      <c r="A15" s="2" t="s">
        <v>414</v>
      </c>
      <c r="B15" s="2" t="s">
        <v>302</v>
      </c>
      <c r="C15" s="2"/>
      <c r="D15" s="2" t="s">
        <v>371</v>
      </c>
      <c r="E15" s="2" t="s">
        <v>415</v>
      </c>
      <c r="F15" s="2" t="s">
        <v>416</v>
      </c>
      <c r="G15" s="2" t="s">
        <v>417</v>
      </c>
      <c r="H15" s="2" t="s">
        <v>311</v>
      </c>
      <c r="I15" s="2" t="s">
        <v>418</v>
      </c>
      <c r="J15" s="2" t="s">
        <v>419</v>
      </c>
      <c r="K15" s="2" t="s">
        <v>399</v>
      </c>
      <c r="L15" s="2" t="s">
        <v>400</v>
      </c>
      <c r="M15" s="2" t="s">
        <v>41</v>
      </c>
      <c r="N15" s="6" t="s">
        <v>381</v>
      </c>
      <c r="O15" s="6" t="s">
        <v>418</v>
      </c>
      <c r="P15" s="6" t="s">
        <v>416</v>
      </c>
      <c r="Q15" s="6" t="s">
        <v>319</v>
      </c>
      <c r="R15" s="6" t="s">
        <v>419</v>
      </c>
      <c r="S15" s="6" t="s">
        <v>400</v>
      </c>
      <c r="T15" s="6" t="s">
        <v>45</v>
      </c>
      <c r="U15" s="6"/>
      <c r="V15" s="6">
        <v>14</v>
      </c>
      <c r="W15" s="6" t="s">
        <v>46</v>
      </c>
    </row>
    <row r="16" spans="1:23" ht="72.5" x14ac:dyDescent="0.35">
      <c r="A16" s="2" t="s">
        <v>420</v>
      </c>
      <c r="B16" s="2" t="s">
        <v>302</v>
      </c>
      <c r="C16" s="2"/>
      <c r="D16" s="2" t="s">
        <v>371</v>
      </c>
      <c r="E16" s="2" t="s">
        <v>421</v>
      </c>
      <c r="F16" s="2" t="s">
        <v>422</v>
      </c>
      <c r="G16" s="2" t="s">
        <v>423</v>
      </c>
      <c r="H16" s="2" t="s">
        <v>311</v>
      </c>
      <c r="I16" s="2" t="s">
        <v>424</v>
      </c>
      <c r="J16" s="2" t="s">
        <v>425</v>
      </c>
      <c r="K16" s="2" t="s">
        <v>390</v>
      </c>
      <c r="L16" s="2" t="s">
        <v>315</v>
      </c>
      <c r="M16" s="2" t="s">
        <v>426</v>
      </c>
      <c r="N16" s="6" t="s">
        <v>427</v>
      </c>
      <c r="O16" s="6" t="s">
        <v>424</v>
      </c>
      <c r="P16" s="6" t="s">
        <v>422</v>
      </c>
      <c r="Q16" s="6" t="s">
        <v>319</v>
      </c>
      <c r="R16" s="6" t="s">
        <v>425</v>
      </c>
      <c r="S16" s="6" t="s">
        <v>315</v>
      </c>
      <c r="T16" s="6" t="s">
        <v>45</v>
      </c>
      <c r="U16" s="6"/>
      <c r="V16" s="6">
        <v>15</v>
      </c>
      <c r="W16" s="6" t="s">
        <v>46</v>
      </c>
    </row>
    <row r="17" spans="1:23" ht="72.5" x14ac:dyDescent="0.35">
      <c r="A17" s="2" t="s">
        <v>428</v>
      </c>
      <c r="B17" s="2" t="s">
        <v>302</v>
      </c>
      <c r="C17" s="2"/>
      <c r="D17" s="2" t="s">
        <v>371</v>
      </c>
      <c r="E17" s="2" t="s">
        <v>429</v>
      </c>
      <c r="F17" s="2" t="s">
        <v>430</v>
      </c>
      <c r="G17" s="2" t="s">
        <v>431</v>
      </c>
      <c r="H17" s="2" t="s">
        <v>311</v>
      </c>
      <c r="I17" s="2" t="s">
        <v>432</v>
      </c>
      <c r="J17" s="2" t="s">
        <v>433</v>
      </c>
      <c r="K17" s="2" t="s">
        <v>434</v>
      </c>
      <c r="L17" s="2" t="s">
        <v>315</v>
      </c>
      <c r="M17" s="2" t="s">
        <v>411</v>
      </c>
      <c r="N17" s="6" t="s">
        <v>427</v>
      </c>
      <c r="O17" s="6" t="s">
        <v>432</v>
      </c>
      <c r="P17" s="6" t="s">
        <v>430</v>
      </c>
      <c r="Q17" s="6" t="s">
        <v>319</v>
      </c>
      <c r="R17" s="6" t="s">
        <v>433</v>
      </c>
      <c r="S17" s="6" t="s">
        <v>315</v>
      </c>
      <c r="T17" s="6" t="s">
        <v>45</v>
      </c>
      <c r="U17" s="6"/>
      <c r="V17" s="6">
        <v>16</v>
      </c>
      <c r="W17" s="6" t="s">
        <v>46</v>
      </c>
    </row>
    <row r="18" spans="1:23" ht="87" x14ac:dyDescent="0.35">
      <c r="A18" s="2" t="s">
        <v>435</v>
      </c>
      <c r="B18" s="2" t="s">
        <v>302</v>
      </c>
      <c r="C18" s="2"/>
      <c r="D18" s="2" t="s">
        <v>371</v>
      </c>
      <c r="E18" s="2" t="s">
        <v>436</v>
      </c>
      <c r="F18" s="2" t="s">
        <v>437</v>
      </c>
      <c r="G18" s="2" t="s">
        <v>438</v>
      </c>
      <c r="H18" s="2" t="s">
        <v>36</v>
      </c>
      <c r="I18" s="2" t="s">
        <v>439</v>
      </c>
      <c r="J18" s="2" t="s">
        <v>440</v>
      </c>
      <c r="K18" s="2" t="s">
        <v>441</v>
      </c>
      <c r="L18" s="2" t="s">
        <v>410</v>
      </c>
      <c r="M18" s="2" t="s">
        <v>316</v>
      </c>
      <c r="N18" s="6" t="s">
        <v>427</v>
      </c>
      <c r="O18" s="6" t="s">
        <v>439</v>
      </c>
      <c r="P18" s="6" t="s">
        <v>437</v>
      </c>
      <c r="Q18" s="6" t="s">
        <v>44</v>
      </c>
      <c r="R18" s="6" t="s">
        <v>440</v>
      </c>
      <c r="S18" s="6" t="s">
        <v>410</v>
      </c>
      <c r="T18" s="6" t="s">
        <v>45</v>
      </c>
      <c r="U18" s="6"/>
      <c r="V18" s="6">
        <v>17</v>
      </c>
      <c r="W18" s="6" t="s">
        <v>46</v>
      </c>
    </row>
    <row r="19" spans="1:23" ht="72.5" x14ac:dyDescent="0.35">
      <c r="A19" s="2" t="s">
        <v>442</v>
      </c>
      <c r="B19" s="2" t="s">
        <v>302</v>
      </c>
      <c r="C19" s="2"/>
      <c r="D19" s="2" t="s">
        <v>371</v>
      </c>
      <c r="E19" s="2" t="s">
        <v>443</v>
      </c>
      <c r="F19" s="2" t="s">
        <v>444</v>
      </c>
      <c r="G19" s="2" t="s">
        <v>445</v>
      </c>
      <c r="H19" s="2" t="s">
        <v>311</v>
      </c>
      <c r="I19" s="2" t="s">
        <v>446</v>
      </c>
      <c r="J19" s="2" t="s">
        <v>447</v>
      </c>
      <c r="K19" s="2" t="s">
        <v>448</v>
      </c>
      <c r="L19" s="2" t="s">
        <v>315</v>
      </c>
      <c r="M19" s="2" t="s">
        <v>411</v>
      </c>
      <c r="N19" s="6" t="s">
        <v>427</v>
      </c>
      <c r="O19" s="6" t="s">
        <v>446</v>
      </c>
      <c r="P19" s="6" t="s">
        <v>444</v>
      </c>
      <c r="Q19" s="6" t="s">
        <v>319</v>
      </c>
      <c r="R19" s="6" t="s">
        <v>447</v>
      </c>
      <c r="S19" s="6" t="s">
        <v>315</v>
      </c>
      <c r="T19" s="6" t="s">
        <v>45</v>
      </c>
      <c r="U19" s="6"/>
      <c r="V19" s="6">
        <v>18</v>
      </c>
      <c r="W19" s="6" t="s">
        <v>46</v>
      </c>
    </row>
    <row r="20" spans="1:23" ht="87" x14ac:dyDescent="0.35">
      <c r="A20" s="2" t="s">
        <v>449</v>
      </c>
      <c r="B20" s="2" t="s">
        <v>302</v>
      </c>
      <c r="C20" s="2"/>
      <c r="D20" s="2" t="s">
        <v>371</v>
      </c>
      <c r="E20" s="2" t="s">
        <v>450</v>
      </c>
      <c r="F20" s="2" t="s">
        <v>451</v>
      </c>
      <c r="G20" s="2" t="s">
        <v>452</v>
      </c>
      <c r="H20" s="2" t="s">
        <v>311</v>
      </c>
      <c r="I20" s="2" t="s">
        <v>453</v>
      </c>
      <c r="J20" s="2" t="s">
        <v>454</v>
      </c>
      <c r="K20" s="2" t="s">
        <v>455</v>
      </c>
      <c r="L20" s="2" t="s">
        <v>456</v>
      </c>
      <c r="M20" s="2" t="s">
        <v>411</v>
      </c>
      <c r="N20" s="6" t="s">
        <v>427</v>
      </c>
      <c r="O20" s="6" t="s">
        <v>457</v>
      </c>
      <c r="P20" s="6" t="s">
        <v>458</v>
      </c>
      <c r="Q20" s="6" t="s">
        <v>319</v>
      </c>
      <c r="R20" s="6" t="s">
        <v>454</v>
      </c>
      <c r="S20" s="6" t="s">
        <v>456</v>
      </c>
      <c r="T20" s="6" t="s">
        <v>45</v>
      </c>
      <c r="U20" s="6"/>
      <c r="V20" s="6">
        <v>19</v>
      </c>
      <c r="W20" s="6" t="s">
        <v>46</v>
      </c>
    </row>
    <row r="21" spans="1:23" ht="116" x14ac:dyDescent="0.35">
      <c r="A21" s="2" t="s">
        <v>459</v>
      </c>
      <c r="B21" s="2" t="s">
        <v>302</v>
      </c>
      <c r="C21" s="2"/>
      <c r="D21" s="2" t="s">
        <v>371</v>
      </c>
      <c r="E21" s="2" t="s">
        <v>460</v>
      </c>
      <c r="F21" s="2" t="s">
        <v>461</v>
      </c>
      <c r="G21" s="2" t="s">
        <v>462</v>
      </c>
      <c r="H21" s="2" t="s">
        <v>311</v>
      </c>
      <c r="I21" s="2" t="s">
        <v>463</v>
      </c>
      <c r="J21" s="2" t="s">
        <v>464</v>
      </c>
      <c r="K21" s="2" t="s">
        <v>455</v>
      </c>
      <c r="L21" s="2" t="s">
        <v>456</v>
      </c>
      <c r="M21" s="2" t="s">
        <v>411</v>
      </c>
      <c r="N21" s="6" t="s">
        <v>427</v>
      </c>
      <c r="O21" s="6" t="s">
        <v>465</v>
      </c>
      <c r="P21" s="6" t="s">
        <v>466</v>
      </c>
      <c r="Q21" s="6" t="s">
        <v>319</v>
      </c>
      <c r="R21" s="6" t="s">
        <v>464</v>
      </c>
      <c r="S21" s="6" t="s">
        <v>456</v>
      </c>
      <c r="T21" s="6" t="s">
        <v>45</v>
      </c>
      <c r="U21" s="6"/>
      <c r="V21" s="6">
        <v>20</v>
      </c>
      <c r="W21" s="6" t="s">
        <v>46</v>
      </c>
    </row>
    <row r="22" spans="1:23" ht="72.5" x14ac:dyDescent="0.35">
      <c r="A22" s="2" t="s">
        <v>467</v>
      </c>
      <c r="B22" s="2" t="s">
        <v>302</v>
      </c>
      <c r="C22" s="2"/>
      <c r="D22" s="2" t="s">
        <v>371</v>
      </c>
      <c r="E22" s="2" t="s">
        <v>468</v>
      </c>
      <c r="F22" s="2" t="s">
        <v>469</v>
      </c>
      <c r="G22" s="2" t="s">
        <v>470</v>
      </c>
      <c r="H22" s="2" t="s">
        <v>311</v>
      </c>
      <c r="I22" s="2" t="s">
        <v>471</v>
      </c>
      <c r="J22" s="2" t="s">
        <v>472</v>
      </c>
      <c r="K22" s="2" t="s">
        <v>473</v>
      </c>
      <c r="L22" s="2" t="s">
        <v>456</v>
      </c>
      <c r="M22" s="2" t="s">
        <v>316</v>
      </c>
      <c r="N22" s="6" t="s">
        <v>427</v>
      </c>
      <c r="O22" s="6" t="s">
        <v>471</v>
      </c>
      <c r="P22" s="6" t="s">
        <v>469</v>
      </c>
      <c r="Q22" s="6" t="s">
        <v>319</v>
      </c>
      <c r="R22" s="6" t="s">
        <v>472</v>
      </c>
      <c r="S22" s="6" t="s">
        <v>456</v>
      </c>
      <c r="T22" s="6" t="s">
        <v>45</v>
      </c>
      <c r="U22" s="6"/>
      <c r="V22" s="6">
        <v>21</v>
      </c>
      <c r="W22" s="6" t="s">
        <v>46</v>
      </c>
    </row>
    <row r="23" spans="1:23" ht="72.5" x14ac:dyDescent="0.35">
      <c r="A23" s="2" t="s">
        <v>474</v>
      </c>
      <c r="B23" s="2" t="s">
        <v>302</v>
      </c>
      <c r="C23" s="2"/>
      <c r="D23" s="2" t="s">
        <v>371</v>
      </c>
      <c r="E23" s="2" t="s">
        <v>475</v>
      </c>
      <c r="F23" s="2" t="s">
        <v>476</v>
      </c>
      <c r="G23" s="2" t="s">
        <v>477</v>
      </c>
      <c r="H23" s="2" t="s">
        <v>311</v>
      </c>
      <c r="I23" s="2" t="s">
        <v>478</v>
      </c>
      <c r="J23" s="2" t="s">
        <v>479</v>
      </c>
      <c r="K23" s="2" t="s">
        <v>480</v>
      </c>
      <c r="L23" s="2" t="s">
        <v>456</v>
      </c>
      <c r="M23" s="2" t="s">
        <v>316</v>
      </c>
      <c r="N23" s="6" t="s">
        <v>427</v>
      </c>
      <c r="O23" s="6" t="s">
        <v>478</v>
      </c>
      <c r="P23" s="6" t="s">
        <v>476</v>
      </c>
      <c r="Q23" s="6" t="s">
        <v>319</v>
      </c>
      <c r="R23" s="6" t="s">
        <v>479</v>
      </c>
      <c r="S23" s="6" t="s">
        <v>456</v>
      </c>
      <c r="T23" s="6" t="s">
        <v>45</v>
      </c>
      <c r="U23" s="6"/>
      <c r="V23" s="6">
        <v>22</v>
      </c>
      <c r="W23" s="6" t="s">
        <v>46</v>
      </c>
    </row>
    <row r="24" spans="1:23" ht="43.5" x14ac:dyDescent="0.35">
      <c r="A24" s="2" t="s">
        <v>481</v>
      </c>
      <c r="B24" s="2" t="s">
        <v>302</v>
      </c>
      <c r="C24" s="2"/>
      <c r="D24" s="2" t="s">
        <v>482</v>
      </c>
      <c r="E24" s="2"/>
      <c r="F24" s="2"/>
      <c r="G24" s="2"/>
      <c r="H24" s="2"/>
      <c r="I24" s="2"/>
      <c r="J24" s="2"/>
      <c r="K24" s="2"/>
      <c r="L24" s="2"/>
      <c r="M24" s="2" t="s">
        <v>483</v>
      </c>
    </row>
    <row r="25" spans="1:23" ht="101.5" x14ac:dyDescent="0.35">
      <c r="A25" s="2" t="s">
        <v>484</v>
      </c>
      <c r="B25" s="2" t="s">
        <v>302</v>
      </c>
      <c r="C25" s="2"/>
      <c r="D25" s="2" t="s">
        <v>482</v>
      </c>
      <c r="E25" s="2" t="s">
        <v>485</v>
      </c>
      <c r="F25" s="2" t="s">
        <v>486</v>
      </c>
      <c r="G25" s="2" t="s">
        <v>487</v>
      </c>
      <c r="H25" s="2" t="s">
        <v>311</v>
      </c>
      <c r="I25" s="2" t="s">
        <v>488</v>
      </c>
      <c r="J25" s="2" t="s">
        <v>489</v>
      </c>
      <c r="K25" s="2" t="s">
        <v>390</v>
      </c>
      <c r="L25" s="2" t="s">
        <v>315</v>
      </c>
      <c r="M25" s="2" t="s">
        <v>490</v>
      </c>
      <c r="N25" s="6" t="s">
        <v>482</v>
      </c>
      <c r="O25" s="6" t="s">
        <v>491</v>
      </c>
      <c r="P25" s="6" t="s">
        <v>492</v>
      </c>
      <c r="Q25" s="6" t="s">
        <v>319</v>
      </c>
      <c r="R25" s="6" t="s">
        <v>489</v>
      </c>
      <c r="S25" s="6" t="s">
        <v>315</v>
      </c>
      <c r="T25" s="6" t="s">
        <v>60</v>
      </c>
      <c r="U25" s="6"/>
      <c r="V25" s="6">
        <v>23</v>
      </c>
      <c r="W25" s="6" t="s">
        <v>46</v>
      </c>
    </row>
    <row r="26" spans="1:23" ht="58" x14ac:dyDescent="0.35">
      <c r="A26" s="2" t="s">
        <v>493</v>
      </c>
      <c r="B26" s="2" t="s">
        <v>302</v>
      </c>
      <c r="C26" s="2"/>
      <c r="D26" s="2" t="s">
        <v>482</v>
      </c>
      <c r="E26" s="2" t="s">
        <v>494</v>
      </c>
      <c r="F26" s="2" t="s">
        <v>495</v>
      </c>
      <c r="G26" s="2" t="s">
        <v>496</v>
      </c>
      <c r="H26" s="2" t="s">
        <v>311</v>
      </c>
      <c r="I26" s="2" t="s">
        <v>497</v>
      </c>
      <c r="J26" s="2" t="s">
        <v>498</v>
      </c>
      <c r="K26" s="2" t="s">
        <v>499</v>
      </c>
      <c r="L26" s="2" t="s">
        <v>315</v>
      </c>
      <c r="M26" s="2" t="s">
        <v>411</v>
      </c>
      <c r="N26" s="6" t="s">
        <v>482</v>
      </c>
      <c r="O26" s="6" t="s">
        <v>497</v>
      </c>
      <c r="P26" s="6" t="s">
        <v>495</v>
      </c>
      <c r="Q26" s="6" t="s">
        <v>319</v>
      </c>
      <c r="R26" s="6" t="s">
        <v>498</v>
      </c>
      <c r="S26" s="6" t="s">
        <v>315</v>
      </c>
      <c r="T26" s="6" t="s">
        <v>45</v>
      </c>
      <c r="U26" s="6"/>
      <c r="V26" s="6">
        <v>24</v>
      </c>
      <c r="W26" s="6" t="s">
        <v>46</v>
      </c>
    </row>
    <row r="27" spans="1:23" ht="72.5" x14ac:dyDescent="0.35">
      <c r="A27" s="2" t="s">
        <v>500</v>
      </c>
      <c r="B27" s="2" t="s">
        <v>302</v>
      </c>
      <c r="C27" s="2"/>
      <c r="D27" s="2" t="s">
        <v>482</v>
      </c>
      <c r="E27" s="2" t="s">
        <v>501</v>
      </c>
      <c r="F27" s="2" t="s">
        <v>502</v>
      </c>
      <c r="G27" s="2" t="s">
        <v>503</v>
      </c>
      <c r="H27" s="2" t="s">
        <v>311</v>
      </c>
      <c r="I27" s="2" t="s">
        <v>504</v>
      </c>
      <c r="J27" s="2" t="s">
        <v>505</v>
      </c>
      <c r="K27" s="2" t="s">
        <v>506</v>
      </c>
      <c r="L27" s="2" t="s">
        <v>507</v>
      </c>
      <c r="M27" s="2" t="s">
        <v>411</v>
      </c>
      <c r="N27" s="6" t="s">
        <v>482</v>
      </c>
      <c r="O27" s="6" t="s">
        <v>504</v>
      </c>
      <c r="P27" s="6" t="s">
        <v>502</v>
      </c>
      <c r="Q27" s="6" t="s">
        <v>319</v>
      </c>
      <c r="R27" s="6" t="s">
        <v>505</v>
      </c>
      <c r="S27" s="6" t="s">
        <v>507</v>
      </c>
      <c r="T27" s="6" t="s">
        <v>45</v>
      </c>
      <c r="U27" s="6"/>
      <c r="V27" s="6">
        <v>25</v>
      </c>
      <c r="W27" s="6" t="s">
        <v>46</v>
      </c>
    </row>
    <row r="28" spans="1:23" ht="101.5" x14ac:dyDescent="0.35">
      <c r="A28" s="2" t="s">
        <v>508</v>
      </c>
      <c r="B28" s="2" t="s">
        <v>302</v>
      </c>
      <c r="C28" s="2"/>
      <c r="D28" s="2" t="s">
        <v>482</v>
      </c>
      <c r="E28" s="2" t="s">
        <v>509</v>
      </c>
      <c r="F28" s="2" t="s">
        <v>510</v>
      </c>
      <c r="G28" s="2" t="s">
        <v>511</v>
      </c>
      <c r="H28" s="2" t="s">
        <v>311</v>
      </c>
      <c r="I28" s="2" t="s">
        <v>512</v>
      </c>
      <c r="J28" s="2" t="s">
        <v>513</v>
      </c>
      <c r="K28" s="2" t="s">
        <v>514</v>
      </c>
      <c r="L28" s="2" t="s">
        <v>507</v>
      </c>
      <c r="M28" s="2" t="s">
        <v>411</v>
      </c>
      <c r="N28" s="6" t="s">
        <v>482</v>
      </c>
      <c r="O28" s="6" t="s">
        <v>515</v>
      </c>
      <c r="P28" s="6" t="s">
        <v>516</v>
      </c>
      <c r="Q28" s="6" t="s">
        <v>319</v>
      </c>
      <c r="R28" s="6" t="s">
        <v>513</v>
      </c>
      <c r="S28" s="6" t="s">
        <v>507</v>
      </c>
      <c r="T28" s="6" t="s">
        <v>45</v>
      </c>
      <c r="U28" s="6"/>
      <c r="V28" s="6">
        <v>26</v>
      </c>
      <c r="W28" s="6" t="s">
        <v>46</v>
      </c>
    </row>
    <row r="29" spans="1:23" ht="87" x14ac:dyDescent="0.35">
      <c r="A29" s="2" t="s">
        <v>517</v>
      </c>
      <c r="B29" s="2" t="s">
        <v>302</v>
      </c>
      <c r="C29" s="2"/>
      <c r="D29" s="2" t="s">
        <v>482</v>
      </c>
      <c r="E29" s="2" t="s">
        <v>518</v>
      </c>
      <c r="F29" s="2" t="s">
        <v>519</v>
      </c>
      <c r="G29" s="2" t="s">
        <v>520</v>
      </c>
      <c r="H29" s="2" t="s">
        <v>311</v>
      </c>
      <c r="I29" s="2" t="s">
        <v>521</v>
      </c>
      <c r="J29" s="2" t="s">
        <v>522</v>
      </c>
      <c r="K29" s="2" t="s">
        <v>337</v>
      </c>
      <c r="L29" s="2" t="s">
        <v>507</v>
      </c>
      <c r="M29" s="2" t="s">
        <v>316</v>
      </c>
      <c r="N29" s="6" t="s">
        <v>482</v>
      </c>
      <c r="O29" s="6" t="s">
        <v>521</v>
      </c>
      <c r="P29" s="6" t="s">
        <v>519</v>
      </c>
      <c r="Q29" s="6" t="s">
        <v>319</v>
      </c>
      <c r="R29" s="6" t="s">
        <v>522</v>
      </c>
      <c r="S29" s="6" t="s">
        <v>507</v>
      </c>
      <c r="T29" s="6" t="s">
        <v>45</v>
      </c>
      <c r="U29" s="6"/>
      <c r="V29" s="6">
        <v>27</v>
      </c>
      <c r="W29" s="6" t="s">
        <v>46</v>
      </c>
    </row>
    <row r="30" spans="1:23" ht="72.5" x14ac:dyDescent="0.35">
      <c r="A30" s="2" t="s">
        <v>523</v>
      </c>
      <c r="B30" s="2" t="s">
        <v>302</v>
      </c>
      <c r="C30" s="2"/>
      <c r="D30" s="2" t="s">
        <v>482</v>
      </c>
      <c r="E30" s="2" t="s">
        <v>524</v>
      </c>
      <c r="F30" s="2" t="s">
        <v>525</v>
      </c>
      <c r="G30" s="2" t="s">
        <v>526</v>
      </c>
      <c r="H30" s="2" t="s">
        <v>311</v>
      </c>
      <c r="I30" s="2" t="s">
        <v>527</v>
      </c>
      <c r="J30" s="2" t="s">
        <v>528</v>
      </c>
      <c r="K30" s="2" t="s">
        <v>188</v>
      </c>
      <c r="L30" s="2" t="s">
        <v>507</v>
      </c>
      <c r="M30" s="2" t="s">
        <v>411</v>
      </c>
      <c r="N30" s="6" t="s">
        <v>482</v>
      </c>
      <c r="O30" s="6" t="s">
        <v>527</v>
      </c>
      <c r="P30" s="6" t="s">
        <v>525</v>
      </c>
      <c r="Q30" s="6" t="s">
        <v>319</v>
      </c>
      <c r="R30" s="6" t="s">
        <v>528</v>
      </c>
      <c r="S30" s="6" t="s">
        <v>507</v>
      </c>
      <c r="T30" s="6" t="s">
        <v>45</v>
      </c>
      <c r="U30" s="6"/>
      <c r="V30" s="6">
        <v>28</v>
      </c>
      <c r="W30" s="6" t="s">
        <v>46</v>
      </c>
    </row>
    <row r="31" spans="1:23" ht="43.5" x14ac:dyDescent="0.35">
      <c r="A31" s="2" t="s">
        <v>529</v>
      </c>
      <c r="B31" s="2" t="s">
        <v>302</v>
      </c>
      <c r="C31" s="2"/>
      <c r="D31" s="2" t="s">
        <v>530</v>
      </c>
      <c r="E31" s="2"/>
      <c r="F31" s="2"/>
      <c r="G31" s="2"/>
      <c r="H31" s="2"/>
      <c r="I31" s="2"/>
      <c r="J31" s="2"/>
      <c r="K31" s="2"/>
      <c r="L31" s="2"/>
      <c r="M31" s="2" t="s">
        <v>531</v>
      </c>
    </row>
    <row r="32" spans="1:23" ht="72.5" x14ac:dyDescent="0.35">
      <c r="A32" s="2" t="s">
        <v>532</v>
      </c>
      <c r="B32" s="2" t="s">
        <v>302</v>
      </c>
      <c r="C32" s="2"/>
      <c r="D32" s="2" t="s">
        <v>530</v>
      </c>
      <c r="E32" s="2" t="s">
        <v>533</v>
      </c>
      <c r="F32" s="2" t="s">
        <v>534</v>
      </c>
      <c r="G32" s="2" t="s">
        <v>535</v>
      </c>
      <c r="H32" s="2" t="s">
        <v>36</v>
      </c>
      <c r="I32" s="2" t="s">
        <v>536</v>
      </c>
      <c r="J32" s="2" t="s">
        <v>537</v>
      </c>
      <c r="K32" s="2" t="s">
        <v>538</v>
      </c>
      <c r="L32" s="2" t="s">
        <v>358</v>
      </c>
      <c r="M32" s="2" t="s">
        <v>316</v>
      </c>
      <c r="N32" s="6" t="s">
        <v>530</v>
      </c>
      <c r="O32" s="6" t="s">
        <v>539</v>
      </c>
      <c r="P32" s="6" t="s">
        <v>540</v>
      </c>
      <c r="Q32" s="6" t="s">
        <v>44</v>
      </c>
      <c r="R32" s="6" t="s">
        <v>537</v>
      </c>
      <c r="S32" s="6" t="s">
        <v>358</v>
      </c>
      <c r="T32" s="6" t="s">
        <v>45</v>
      </c>
      <c r="U32" s="6"/>
      <c r="V32" s="6">
        <v>29</v>
      </c>
      <c r="W32" s="6" t="s">
        <v>46</v>
      </c>
    </row>
    <row r="33" spans="1:23" ht="72.5" x14ac:dyDescent="0.35">
      <c r="A33" s="2" t="s">
        <v>541</v>
      </c>
      <c r="B33" s="2" t="s">
        <v>302</v>
      </c>
      <c r="C33" s="2"/>
      <c r="D33" s="2" t="s">
        <v>530</v>
      </c>
      <c r="E33" s="2" t="s">
        <v>542</v>
      </c>
      <c r="F33" s="2" t="s">
        <v>543</v>
      </c>
      <c r="G33" s="2" t="s">
        <v>544</v>
      </c>
      <c r="H33" s="2" t="s">
        <v>36</v>
      </c>
      <c r="I33" s="2" t="s">
        <v>545</v>
      </c>
      <c r="J33" s="2" t="s">
        <v>546</v>
      </c>
      <c r="K33" s="2" t="s">
        <v>538</v>
      </c>
      <c r="L33" s="2" t="s">
        <v>358</v>
      </c>
      <c r="M33" s="2" t="s">
        <v>316</v>
      </c>
      <c r="N33" s="6" t="s">
        <v>530</v>
      </c>
      <c r="O33" s="6" t="s">
        <v>547</v>
      </c>
      <c r="P33" s="6" t="s">
        <v>548</v>
      </c>
      <c r="Q33" s="6" t="s">
        <v>44</v>
      </c>
      <c r="R33" s="6" t="s">
        <v>546</v>
      </c>
      <c r="S33" s="6" t="s">
        <v>358</v>
      </c>
      <c r="T33" s="6" t="s">
        <v>45</v>
      </c>
      <c r="U33" s="6"/>
      <c r="V33" s="6">
        <v>30</v>
      </c>
      <c r="W33" s="6" t="s">
        <v>46</v>
      </c>
    </row>
    <row r="34" spans="1:23" ht="72.5" x14ac:dyDescent="0.35">
      <c r="A34" s="2" t="s">
        <v>549</v>
      </c>
      <c r="B34" s="2" t="s">
        <v>302</v>
      </c>
      <c r="C34" s="2"/>
      <c r="D34" s="2" t="s">
        <v>530</v>
      </c>
      <c r="E34" s="2" t="s">
        <v>550</v>
      </c>
      <c r="F34" s="2" t="s">
        <v>551</v>
      </c>
      <c r="G34" s="2" t="s">
        <v>552</v>
      </c>
      <c r="H34" s="2" t="s">
        <v>36</v>
      </c>
      <c r="I34" s="2" t="s">
        <v>553</v>
      </c>
      <c r="J34" s="2" t="s">
        <v>554</v>
      </c>
      <c r="K34" s="2" t="s">
        <v>538</v>
      </c>
      <c r="L34" s="2" t="s">
        <v>358</v>
      </c>
      <c r="M34" s="2" t="s">
        <v>411</v>
      </c>
      <c r="N34" s="6" t="s">
        <v>530</v>
      </c>
      <c r="O34" s="6" t="s">
        <v>553</v>
      </c>
      <c r="P34" s="6" t="s">
        <v>551</v>
      </c>
      <c r="Q34" s="6" t="s">
        <v>44</v>
      </c>
      <c r="R34" s="6" t="s">
        <v>554</v>
      </c>
      <c r="S34" s="6" t="s">
        <v>358</v>
      </c>
      <c r="T34" s="6" t="s">
        <v>45</v>
      </c>
      <c r="U34" s="6"/>
      <c r="V34" s="6">
        <v>31</v>
      </c>
      <c r="W34" s="6" t="s">
        <v>46</v>
      </c>
    </row>
    <row r="35" spans="1:23" ht="58" x14ac:dyDescent="0.35">
      <c r="A35" s="2" t="s">
        <v>555</v>
      </c>
      <c r="B35" s="2" t="s">
        <v>302</v>
      </c>
      <c r="C35" s="2"/>
      <c r="D35" s="2" t="s">
        <v>530</v>
      </c>
      <c r="E35" s="2" t="s">
        <v>556</v>
      </c>
      <c r="F35" s="2" t="s">
        <v>557</v>
      </c>
      <c r="G35" s="2" t="s">
        <v>558</v>
      </c>
      <c r="H35" s="2" t="s">
        <v>36</v>
      </c>
      <c r="I35" s="2" t="s">
        <v>559</v>
      </c>
      <c r="J35" s="2" t="s">
        <v>560</v>
      </c>
      <c r="K35" s="2" t="s">
        <v>538</v>
      </c>
      <c r="L35" s="2" t="s">
        <v>358</v>
      </c>
      <c r="M35" s="2" t="s">
        <v>316</v>
      </c>
      <c r="N35" s="6" t="s">
        <v>530</v>
      </c>
      <c r="O35" s="6" t="s">
        <v>559</v>
      </c>
      <c r="P35" s="6" t="s">
        <v>557</v>
      </c>
      <c r="Q35" s="6" t="s">
        <v>44</v>
      </c>
      <c r="R35" s="6" t="s">
        <v>560</v>
      </c>
      <c r="S35" s="6" t="s">
        <v>358</v>
      </c>
      <c r="T35" s="6" t="s">
        <v>45</v>
      </c>
      <c r="U35" s="6"/>
      <c r="V35" s="6">
        <v>32</v>
      </c>
      <c r="W35" s="6" t="s">
        <v>46</v>
      </c>
    </row>
    <row r="36" spans="1:23" ht="43.5" x14ac:dyDescent="0.35">
      <c r="A36" s="2" t="s">
        <v>561</v>
      </c>
      <c r="B36" s="2" t="s">
        <v>302</v>
      </c>
      <c r="C36" s="2"/>
      <c r="D36" s="2" t="s">
        <v>30</v>
      </c>
      <c r="E36" s="2"/>
      <c r="F36" s="2"/>
      <c r="G36" s="2"/>
      <c r="H36" s="2"/>
      <c r="I36" s="2"/>
      <c r="J36" s="2"/>
      <c r="K36" s="2"/>
      <c r="L36" s="2"/>
      <c r="M36" s="2" t="s">
        <v>562</v>
      </c>
    </row>
    <row r="37" spans="1:23" ht="116" x14ac:dyDescent="0.35">
      <c r="A37" s="2" t="s">
        <v>563</v>
      </c>
      <c r="B37" s="2" t="s">
        <v>302</v>
      </c>
      <c r="C37" s="2"/>
      <c r="D37" s="2" t="s">
        <v>30</v>
      </c>
      <c r="E37" s="2" t="s">
        <v>564</v>
      </c>
      <c r="F37" s="2" t="s">
        <v>565</v>
      </c>
      <c r="G37" s="2" t="s">
        <v>566</v>
      </c>
      <c r="H37" s="2" t="s">
        <v>36</v>
      </c>
      <c r="I37" s="2" t="s">
        <v>567</v>
      </c>
      <c r="J37" s="2" t="s">
        <v>568</v>
      </c>
      <c r="K37" s="2" t="s">
        <v>569</v>
      </c>
      <c r="L37" s="2" t="s">
        <v>570</v>
      </c>
      <c r="M37" s="2" t="s">
        <v>571</v>
      </c>
      <c r="N37" s="6" t="s">
        <v>30</v>
      </c>
      <c r="O37" s="6" t="s">
        <v>572</v>
      </c>
      <c r="P37" s="6" t="s">
        <v>573</v>
      </c>
      <c r="Q37" s="6" t="s">
        <v>44</v>
      </c>
      <c r="R37" s="6" t="s">
        <v>568</v>
      </c>
      <c r="S37" s="6" t="s">
        <v>570</v>
      </c>
      <c r="T37" s="6" t="s">
        <v>60</v>
      </c>
      <c r="U37" s="6"/>
      <c r="V37" s="6">
        <v>33</v>
      </c>
      <c r="W37" s="6" t="s">
        <v>46</v>
      </c>
    </row>
    <row r="38" spans="1:23" ht="72.5" x14ac:dyDescent="0.35">
      <c r="A38" s="2" t="s">
        <v>574</v>
      </c>
      <c r="B38" s="2" t="s">
        <v>302</v>
      </c>
      <c r="C38" s="2"/>
      <c r="D38" s="2" t="s">
        <v>30</v>
      </c>
      <c r="E38" s="2" t="s">
        <v>575</v>
      </c>
      <c r="F38" s="2" t="s">
        <v>576</v>
      </c>
      <c r="G38" s="2" t="s">
        <v>577</v>
      </c>
      <c r="H38" s="2" t="s">
        <v>36</v>
      </c>
      <c r="I38" s="2" t="s">
        <v>578</v>
      </c>
      <c r="J38" s="2" t="s">
        <v>579</v>
      </c>
      <c r="K38" s="2" t="s">
        <v>580</v>
      </c>
      <c r="L38" s="2" t="s">
        <v>410</v>
      </c>
      <c r="M38" s="2" t="s">
        <v>411</v>
      </c>
      <c r="N38" s="6" t="s">
        <v>30</v>
      </c>
      <c r="O38" s="6" t="s">
        <v>578</v>
      </c>
      <c r="P38" s="6" t="s">
        <v>576</v>
      </c>
      <c r="Q38" s="6" t="s">
        <v>44</v>
      </c>
      <c r="R38" s="6" t="s">
        <v>579</v>
      </c>
      <c r="S38" s="6" t="s">
        <v>410</v>
      </c>
      <c r="T38" s="6" t="s">
        <v>45</v>
      </c>
      <c r="U38" s="6"/>
      <c r="V38" s="6">
        <v>34</v>
      </c>
      <c r="W38" s="6" t="s">
        <v>46</v>
      </c>
    </row>
    <row r="39" spans="1:23" ht="87" x14ac:dyDescent="0.35">
      <c r="A39" s="2" t="s">
        <v>581</v>
      </c>
      <c r="B39" s="2" t="s">
        <v>302</v>
      </c>
      <c r="C39" s="2"/>
      <c r="D39" s="2" t="s">
        <v>30</v>
      </c>
      <c r="E39" s="2" t="s">
        <v>582</v>
      </c>
      <c r="F39" s="2" t="s">
        <v>583</v>
      </c>
      <c r="G39" s="2" t="s">
        <v>584</v>
      </c>
      <c r="H39" s="2" t="s">
        <v>311</v>
      </c>
      <c r="I39" s="2" t="s">
        <v>585</v>
      </c>
      <c r="J39" s="2" t="s">
        <v>586</v>
      </c>
      <c r="K39" s="2" t="s">
        <v>587</v>
      </c>
      <c r="L39" s="2" t="s">
        <v>588</v>
      </c>
      <c r="M39" s="2" t="s">
        <v>411</v>
      </c>
      <c r="N39" s="6" t="s">
        <v>30</v>
      </c>
      <c r="O39" s="6" t="s">
        <v>585</v>
      </c>
      <c r="P39" s="6" t="s">
        <v>583</v>
      </c>
      <c r="Q39" s="6" t="s">
        <v>319</v>
      </c>
      <c r="R39" s="6" t="s">
        <v>586</v>
      </c>
      <c r="S39" s="6" t="s">
        <v>588</v>
      </c>
      <c r="T39" s="6" t="s">
        <v>45</v>
      </c>
      <c r="U39" s="6"/>
      <c r="V39" s="6">
        <v>35</v>
      </c>
      <c r="W39" s="6" t="s">
        <v>46</v>
      </c>
    </row>
    <row r="40" spans="1:23" ht="58" x14ac:dyDescent="0.35">
      <c r="A40" s="2" t="s">
        <v>589</v>
      </c>
      <c r="B40" s="2" t="s">
        <v>302</v>
      </c>
      <c r="C40" s="2"/>
      <c r="D40" s="2" t="s">
        <v>30</v>
      </c>
      <c r="E40" s="2" t="s">
        <v>590</v>
      </c>
      <c r="F40" s="2" t="s">
        <v>591</v>
      </c>
      <c r="G40" s="2" t="s">
        <v>592</v>
      </c>
      <c r="H40" s="2" t="s">
        <v>311</v>
      </c>
      <c r="I40" s="2" t="s">
        <v>593</v>
      </c>
      <c r="J40" s="2" t="s">
        <v>594</v>
      </c>
      <c r="K40" s="2" t="s">
        <v>595</v>
      </c>
      <c r="L40" s="2" t="s">
        <v>456</v>
      </c>
      <c r="M40" s="2" t="s">
        <v>411</v>
      </c>
      <c r="N40" s="6" t="s">
        <v>30</v>
      </c>
      <c r="O40" s="6" t="s">
        <v>593</v>
      </c>
      <c r="P40" s="6" t="s">
        <v>591</v>
      </c>
      <c r="Q40" s="6" t="s">
        <v>319</v>
      </c>
      <c r="R40" s="6" t="s">
        <v>594</v>
      </c>
      <c r="S40" s="6" t="s">
        <v>456</v>
      </c>
      <c r="T40" s="6" t="s">
        <v>45</v>
      </c>
      <c r="U40" s="6"/>
      <c r="V40" s="6">
        <v>36</v>
      </c>
      <c r="W40" s="6" t="s">
        <v>46</v>
      </c>
    </row>
    <row r="41" spans="1:23" ht="43.5" x14ac:dyDescent="0.35">
      <c r="A41" s="2" t="s">
        <v>596</v>
      </c>
      <c r="B41" s="2" t="s">
        <v>302</v>
      </c>
      <c r="C41" s="2"/>
      <c r="D41" s="2" t="s">
        <v>597</v>
      </c>
      <c r="E41" s="2"/>
      <c r="F41" s="2"/>
      <c r="G41" s="2"/>
      <c r="H41" s="2"/>
      <c r="I41" s="2"/>
      <c r="J41" s="2"/>
      <c r="K41" s="2"/>
      <c r="L41" s="2"/>
      <c r="M41" s="2" t="s">
        <v>598</v>
      </c>
    </row>
    <row r="42" spans="1:23" ht="87" x14ac:dyDescent="0.35">
      <c r="A42" s="2" t="s">
        <v>599</v>
      </c>
      <c r="B42" s="2" t="s">
        <v>302</v>
      </c>
      <c r="C42" s="2"/>
      <c r="D42" s="2" t="s">
        <v>597</v>
      </c>
      <c r="E42" s="2" t="s">
        <v>600</v>
      </c>
      <c r="F42" s="2" t="s">
        <v>601</v>
      </c>
      <c r="G42" s="2" t="s">
        <v>602</v>
      </c>
      <c r="H42" s="2" t="s">
        <v>36</v>
      </c>
      <c r="I42" s="2" t="s">
        <v>603</v>
      </c>
      <c r="J42" s="2" t="s">
        <v>604</v>
      </c>
      <c r="K42" s="2" t="s">
        <v>605</v>
      </c>
      <c r="L42" s="2" t="s">
        <v>327</v>
      </c>
      <c r="M42" s="2" t="s">
        <v>316</v>
      </c>
      <c r="N42" s="6" t="s">
        <v>597</v>
      </c>
      <c r="O42" s="6" t="s">
        <v>606</v>
      </c>
      <c r="P42" s="6" t="s">
        <v>607</v>
      </c>
      <c r="Q42" s="6" t="s">
        <v>44</v>
      </c>
      <c r="R42" s="6" t="s">
        <v>604</v>
      </c>
      <c r="S42" s="6" t="s">
        <v>327</v>
      </c>
      <c r="T42" s="6" t="s">
        <v>45</v>
      </c>
      <c r="U42" s="6"/>
      <c r="V42" s="6">
        <v>39</v>
      </c>
      <c r="W42" s="6" t="s">
        <v>46</v>
      </c>
    </row>
    <row r="43" spans="1:23" ht="87" x14ac:dyDescent="0.35">
      <c r="A43" s="2" t="s">
        <v>608</v>
      </c>
      <c r="B43" s="2" t="s">
        <v>302</v>
      </c>
      <c r="C43" s="2"/>
      <c r="D43" s="2" t="s">
        <v>597</v>
      </c>
      <c r="E43" s="2" t="s">
        <v>609</v>
      </c>
      <c r="F43" s="2" t="s">
        <v>610</v>
      </c>
      <c r="G43" s="2" t="s">
        <v>611</v>
      </c>
      <c r="H43" s="2" t="s">
        <v>36</v>
      </c>
      <c r="I43" s="2" t="s">
        <v>612</v>
      </c>
      <c r="J43" s="2" t="s">
        <v>613</v>
      </c>
      <c r="K43" s="2" t="s">
        <v>614</v>
      </c>
      <c r="L43" s="2" t="s">
        <v>456</v>
      </c>
      <c r="M43" s="2" t="s">
        <v>316</v>
      </c>
      <c r="N43" s="6" t="s">
        <v>597</v>
      </c>
      <c r="O43" s="6" t="s">
        <v>615</v>
      </c>
      <c r="P43" s="6" t="s">
        <v>616</v>
      </c>
      <c r="Q43" s="6" t="s">
        <v>44</v>
      </c>
      <c r="R43" s="6" t="s">
        <v>613</v>
      </c>
      <c r="S43" s="6" t="s">
        <v>456</v>
      </c>
      <c r="T43" s="6" t="s">
        <v>45</v>
      </c>
      <c r="U43" s="6"/>
      <c r="V43" s="6">
        <v>40</v>
      </c>
      <c r="W43" s="6" t="s">
        <v>46</v>
      </c>
    </row>
    <row r="44" spans="1:23" ht="72.5" x14ac:dyDescent="0.35">
      <c r="A44" s="2" t="s">
        <v>617</v>
      </c>
      <c r="B44" s="2" t="s">
        <v>302</v>
      </c>
      <c r="C44" s="2"/>
      <c r="D44" s="2" t="s">
        <v>597</v>
      </c>
      <c r="E44" s="2" t="s">
        <v>618</v>
      </c>
      <c r="F44" s="2" t="s">
        <v>619</v>
      </c>
      <c r="G44" s="2" t="s">
        <v>620</v>
      </c>
      <c r="H44" s="2" t="s">
        <v>311</v>
      </c>
      <c r="I44" s="2" t="s">
        <v>621</v>
      </c>
      <c r="J44" s="2" t="s">
        <v>622</v>
      </c>
      <c r="K44" s="2" t="s">
        <v>188</v>
      </c>
      <c r="L44" s="2" t="s">
        <v>456</v>
      </c>
      <c r="M44" s="2" t="s">
        <v>316</v>
      </c>
      <c r="N44" s="6" t="s">
        <v>597</v>
      </c>
      <c r="O44" s="6" t="s">
        <v>621</v>
      </c>
      <c r="P44" s="6" t="s">
        <v>619</v>
      </c>
      <c r="Q44" s="6" t="s">
        <v>319</v>
      </c>
      <c r="R44" s="6" t="s">
        <v>622</v>
      </c>
      <c r="S44" s="6" t="s">
        <v>456</v>
      </c>
      <c r="T44" s="6" t="s">
        <v>45</v>
      </c>
      <c r="U44" s="6"/>
      <c r="V44" s="6">
        <v>41</v>
      </c>
      <c r="W44" s="6" t="s">
        <v>46</v>
      </c>
    </row>
    <row r="45" spans="1:23" ht="58" x14ac:dyDescent="0.35">
      <c r="A45" s="2" t="s">
        <v>623</v>
      </c>
      <c r="B45" s="2" t="s">
        <v>302</v>
      </c>
      <c r="C45" s="2"/>
      <c r="D45" s="2" t="s">
        <v>597</v>
      </c>
      <c r="E45" s="2" t="s">
        <v>624</v>
      </c>
      <c r="F45" s="2" t="s">
        <v>625</v>
      </c>
      <c r="G45" s="2" t="s">
        <v>626</v>
      </c>
      <c r="H45" s="2" t="s">
        <v>311</v>
      </c>
      <c r="I45" s="2" t="s">
        <v>627</v>
      </c>
      <c r="J45" s="2" t="s">
        <v>628</v>
      </c>
      <c r="K45" s="2" t="s">
        <v>629</v>
      </c>
      <c r="L45" s="2" t="s">
        <v>507</v>
      </c>
      <c r="M45" s="2" t="s">
        <v>411</v>
      </c>
      <c r="N45" s="6" t="s">
        <v>597</v>
      </c>
      <c r="O45" s="6" t="s">
        <v>627</v>
      </c>
      <c r="P45" s="6" t="s">
        <v>625</v>
      </c>
      <c r="Q45" s="6" t="s">
        <v>319</v>
      </c>
      <c r="R45" s="6" t="s">
        <v>628</v>
      </c>
      <c r="S45" s="6" t="s">
        <v>507</v>
      </c>
      <c r="T45" s="6" t="s">
        <v>45</v>
      </c>
      <c r="U45" s="6"/>
      <c r="V45" s="6">
        <v>42</v>
      </c>
      <c r="W45" s="6" t="s">
        <v>46</v>
      </c>
    </row>
    <row r="46" spans="1:23" ht="101.5" x14ac:dyDescent="0.35">
      <c r="A46" s="2" t="s">
        <v>630</v>
      </c>
      <c r="B46" s="2" t="s">
        <v>302</v>
      </c>
      <c r="C46" s="2"/>
      <c r="D46" s="2" t="s">
        <v>597</v>
      </c>
      <c r="E46" s="2" t="s">
        <v>631</v>
      </c>
      <c r="F46" s="2" t="s">
        <v>632</v>
      </c>
      <c r="G46" s="2" t="s">
        <v>633</v>
      </c>
      <c r="H46" s="2" t="s">
        <v>311</v>
      </c>
      <c r="I46" s="2" t="s">
        <v>634</v>
      </c>
      <c r="J46" s="2" t="s">
        <v>635</v>
      </c>
      <c r="K46" s="2" t="s">
        <v>636</v>
      </c>
      <c r="L46" s="2" t="s">
        <v>327</v>
      </c>
      <c r="M46" s="2" t="s">
        <v>411</v>
      </c>
      <c r="N46" s="6" t="s">
        <v>597</v>
      </c>
      <c r="O46" s="6" t="s">
        <v>637</v>
      </c>
      <c r="P46" s="6" t="s">
        <v>638</v>
      </c>
      <c r="Q46" s="6" t="s">
        <v>319</v>
      </c>
      <c r="R46" s="6" t="s">
        <v>635</v>
      </c>
      <c r="S46" s="6" t="s">
        <v>327</v>
      </c>
      <c r="T46" s="6" t="s">
        <v>45</v>
      </c>
      <c r="U46" s="6"/>
      <c r="V46" s="6">
        <v>44</v>
      </c>
      <c r="W46" s="6" t="s">
        <v>46</v>
      </c>
    </row>
    <row r="47" spans="1:23" ht="43.5" x14ac:dyDescent="0.35">
      <c r="A47" s="2" t="s">
        <v>639</v>
      </c>
      <c r="B47" s="2" t="s">
        <v>302</v>
      </c>
      <c r="C47" s="2"/>
      <c r="D47" s="2" t="s">
        <v>148</v>
      </c>
      <c r="E47" s="2"/>
      <c r="F47" s="2"/>
      <c r="G47" s="2"/>
      <c r="H47" s="2"/>
      <c r="I47" s="2"/>
      <c r="J47" s="2"/>
      <c r="K47" s="2"/>
      <c r="L47" s="2"/>
      <c r="M47" s="2" t="s">
        <v>640</v>
      </c>
    </row>
    <row r="48" spans="1:23" ht="72.5" x14ac:dyDescent="0.35">
      <c r="A48" s="2" t="s">
        <v>641</v>
      </c>
      <c r="B48" s="2" t="s">
        <v>302</v>
      </c>
      <c r="C48" s="2"/>
      <c r="D48" s="2" t="s">
        <v>148</v>
      </c>
      <c r="E48" s="2" t="s">
        <v>642</v>
      </c>
      <c r="F48" s="2" t="s">
        <v>643</v>
      </c>
      <c r="G48" s="2" t="s">
        <v>644</v>
      </c>
      <c r="H48" s="2" t="s">
        <v>311</v>
      </c>
      <c r="I48" s="2" t="s">
        <v>645</v>
      </c>
      <c r="J48" s="2" t="s">
        <v>646</v>
      </c>
      <c r="K48" s="2" t="s">
        <v>647</v>
      </c>
      <c r="L48" s="2" t="s">
        <v>588</v>
      </c>
      <c r="M48" s="2" t="s">
        <v>411</v>
      </c>
      <c r="N48" s="6" t="s">
        <v>148</v>
      </c>
      <c r="O48" s="6" t="s">
        <v>645</v>
      </c>
      <c r="P48" s="6" t="s">
        <v>643</v>
      </c>
      <c r="Q48" s="6" t="s">
        <v>319</v>
      </c>
      <c r="R48" s="6" t="s">
        <v>646</v>
      </c>
      <c r="S48" s="6" t="s">
        <v>588</v>
      </c>
      <c r="T48" s="6" t="s">
        <v>45</v>
      </c>
      <c r="U48" s="6"/>
      <c r="V48" s="6">
        <v>51</v>
      </c>
      <c r="W48" s="6" t="s">
        <v>46</v>
      </c>
    </row>
  </sheetData>
  <autoFilter ref="A1:W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6" customWidth="1"/>
    <col min="4" max="4" width="18" customWidth="1"/>
    <col min="5" max="5" width="28" customWidth="1"/>
    <col min="6" max="6" width="36" customWidth="1"/>
    <col min="7" max="7" width="28" customWidth="1"/>
    <col min="8" max="8" width="18" customWidth="1"/>
    <col min="9" max="9" width="24" customWidth="1"/>
    <col min="10" max="10" width="28" customWidth="1"/>
    <col min="11" max="11" width="22" customWidth="1"/>
    <col min="12" max="12" width="26" customWidth="1"/>
    <col min="13" max="13" width="28" customWidth="1"/>
    <col min="14" max="15" width="24" customWidth="1"/>
    <col min="16" max="16" width="38" customWidth="1"/>
    <col min="17" max="17" width="24" customWidth="1"/>
    <col min="18" max="19" width="38" customWidth="1"/>
    <col min="20" max="23" width="24" customWidth="1"/>
  </cols>
  <sheetData>
    <row r="1" spans="1:23" ht="4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87" x14ac:dyDescent="0.35">
      <c r="A2" s="2" t="s">
        <v>648</v>
      </c>
      <c r="B2" s="2" t="s">
        <v>649</v>
      </c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650</v>
      </c>
    </row>
    <row r="3" spans="1:23" ht="43.5" x14ac:dyDescent="0.35">
      <c r="A3" s="2" t="s">
        <v>651</v>
      </c>
      <c r="B3" s="2" t="s">
        <v>649</v>
      </c>
      <c r="C3" s="2"/>
      <c r="D3" s="2" t="s">
        <v>652</v>
      </c>
      <c r="E3" s="2"/>
      <c r="F3" s="2"/>
      <c r="G3" s="2"/>
      <c r="H3" s="2"/>
      <c r="I3" s="2"/>
      <c r="J3" s="2"/>
      <c r="K3" s="2"/>
      <c r="L3" s="2"/>
      <c r="M3" s="2" t="s">
        <v>653</v>
      </c>
    </row>
    <row r="4" spans="1:23" ht="72.5" x14ac:dyDescent="0.35">
      <c r="A4" s="2" t="s">
        <v>654</v>
      </c>
      <c r="B4" s="2" t="s">
        <v>649</v>
      </c>
      <c r="C4" s="2"/>
      <c r="D4" s="2" t="s">
        <v>652</v>
      </c>
      <c r="E4" s="2" t="s">
        <v>655</v>
      </c>
      <c r="F4" s="2" t="s">
        <v>656</v>
      </c>
      <c r="G4" s="2" t="s">
        <v>657</v>
      </c>
      <c r="H4" s="2" t="s">
        <v>311</v>
      </c>
      <c r="I4" s="2" t="s">
        <v>658</v>
      </c>
      <c r="J4" s="2" t="s">
        <v>659</v>
      </c>
      <c r="K4" s="2" t="s">
        <v>660</v>
      </c>
      <c r="L4" s="2" t="s">
        <v>400</v>
      </c>
      <c r="M4" s="2" t="s">
        <v>41</v>
      </c>
      <c r="N4" s="6" t="s">
        <v>305</v>
      </c>
      <c r="O4" s="6" t="s">
        <v>658</v>
      </c>
      <c r="P4" s="6" t="s">
        <v>656</v>
      </c>
      <c r="Q4" s="6" t="s">
        <v>319</v>
      </c>
      <c r="R4" s="6" t="s">
        <v>659</v>
      </c>
      <c r="S4" s="6" t="s">
        <v>400</v>
      </c>
      <c r="T4" s="6" t="s">
        <v>45</v>
      </c>
      <c r="U4" s="6" t="s">
        <v>340</v>
      </c>
      <c r="V4" s="6">
        <v>7</v>
      </c>
      <c r="W4" s="6" t="s">
        <v>46</v>
      </c>
    </row>
    <row r="5" spans="1:23" ht="72.5" x14ac:dyDescent="0.35">
      <c r="A5" s="2" t="s">
        <v>661</v>
      </c>
      <c r="B5" s="2" t="s">
        <v>649</v>
      </c>
      <c r="C5" s="2"/>
      <c r="D5" s="2" t="s">
        <v>652</v>
      </c>
      <c r="E5" s="2" t="s">
        <v>662</v>
      </c>
      <c r="F5" s="2" t="s">
        <v>663</v>
      </c>
      <c r="G5" s="2" t="s">
        <v>664</v>
      </c>
      <c r="H5" s="2" t="s">
        <v>36</v>
      </c>
      <c r="I5" s="2" t="s">
        <v>665</v>
      </c>
      <c r="J5" s="2" t="s">
        <v>666</v>
      </c>
      <c r="K5" s="2" t="s">
        <v>667</v>
      </c>
      <c r="L5" s="2" t="s">
        <v>400</v>
      </c>
      <c r="M5" s="2" t="s">
        <v>190</v>
      </c>
      <c r="N5" s="6" t="s">
        <v>191</v>
      </c>
      <c r="O5" s="6" t="s">
        <v>668</v>
      </c>
      <c r="P5" s="6" t="s">
        <v>669</v>
      </c>
      <c r="Q5" s="6" t="s">
        <v>44</v>
      </c>
      <c r="R5" s="6" t="s">
        <v>666</v>
      </c>
      <c r="S5" s="6" t="s">
        <v>400</v>
      </c>
      <c r="T5" s="6" t="s">
        <v>60</v>
      </c>
      <c r="U5" s="6"/>
      <c r="V5" s="6">
        <v>46</v>
      </c>
      <c r="W5" s="6" t="s">
        <v>46</v>
      </c>
    </row>
    <row r="6" spans="1:23" ht="43.5" x14ac:dyDescent="0.35">
      <c r="A6" s="2" t="s">
        <v>670</v>
      </c>
      <c r="B6" s="2" t="s">
        <v>649</v>
      </c>
      <c r="C6" s="2"/>
      <c r="D6" s="2" t="s">
        <v>671</v>
      </c>
      <c r="E6" s="2"/>
      <c r="F6" s="2"/>
      <c r="G6" s="2"/>
      <c r="H6" s="2"/>
      <c r="I6" s="2"/>
      <c r="J6" s="2"/>
      <c r="K6" s="2"/>
      <c r="L6" s="2"/>
      <c r="M6" s="2" t="s">
        <v>672</v>
      </c>
    </row>
    <row r="7" spans="1:23" ht="116" x14ac:dyDescent="0.35">
      <c r="A7" s="2" t="s">
        <v>673</v>
      </c>
      <c r="B7" s="2" t="s">
        <v>649</v>
      </c>
      <c r="C7" s="2"/>
      <c r="D7" s="2" t="s">
        <v>671</v>
      </c>
      <c r="E7" s="2" t="s">
        <v>674</v>
      </c>
      <c r="F7" s="2" t="s">
        <v>675</v>
      </c>
      <c r="G7" s="2" t="s">
        <v>676</v>
      </c>
      <c r="H7" s="2" t="s">
        <v>36</v>
      </c>
      <c r="I7" s="2" t="s">
        <v>677</v>
      </c>
      <c r="J7" s="2" t="s">
        <v>678</v>
      </c>
      <c r="K7" s="2" t="s">
        <v>660</v>
      </c>
      <c r="L7" s="2" t="s">
        <v>400</v>
      </c>
      <c r="M7" s="2" t="s">
        <v>190</v>
      </c>
      <c r="N7" s="6" t="s">
        <v>191</v>
      </c>
      <c r="O7" s="6" t="s">
        <v>679</v>
      </c>
      <c r="P7" s="6" t="s">
        <v>680</v>
      </c>
      <c r="Q7" s="6" t="s">
        <v>44</v>
      </c>
      <c r="R7" s="6" t="s">
        <v>678</v>
      </c>
      <c r="S7" s="6" t="s">
        <v>400</v>
      </c>
      <c r="T7" s="6" t="s">
        <v>60</v>
      </c>
      <c r="U7" s="6"/>
      <c r="V7" s="6">
        <v>45</v>
      </c>
      <c r="W7" s="6" t="s">
        <v>46</v>
      </c>
    </row>
    <row r="8" spans="1:23" ht="72.5" x14ac:dyDescent="0.35">
      <c r="A8" s="2" t="s">
        <v>681</v>
      </c>
      <c r="B8" s="2" t="s">
        <v>649</v>
      </c>
      <c r="C8" s="2"/>
      <c r="D8" s="2" t="s">
        <v>671</v>
      </c>
      <c r="E8" s="2" t="s">
        <v>682</v>
      </c>
      <c r="F8" s="2" t="s">
        <v>683</v>
      </c>
      <c r="G8" s="2" t="s">
        <v>684</v>
      </c>
      <c r="H8" s="2" t="s">
        <v>311</v>
      </c>
      <c r="I8" s="2" t="s">
        <v>685</v>
      </c>
      <c r="J8" s="2" t="s">
        <v>686</v>
      </c>
      <c r="K8" s="2" t="s">
        <v>687</v>
      </c>
      <c r="L8" s="2" t="s">
        <v>688</v>
      </c>
      <c r="M8" s="2" t="s">
        <v>41</v>
      </c>
      <c r="N8" s="6" t="s">
        <v>381</v>
      </c>
      <c r="O8" s="6" t="s">
        <v>685</v>
      </c>
      <c r="P8" s="6" t="s">
        <v>683</v>
      </c>
      <c r="Q8" s="6" t="s">
        <v>319</v>
      </c>
      <c r="R8" s="6" t="s">
        <v>686</v>
      </c>
      <c r="S8" s="6" t="s">
        <v>688</v>
      </c>
      <c r="T8" s="6" t="s">
        <v>45</v>
      </c>
      <c r="U8" s="6"/>
      <c r="V8" s="6">
        <v>12</v>
      </c>
      <c r="W8" s="6" t="s">
        <v>46</v>
      </c>
    </row>
    <row r="9" spans="1:23" ht="58" x14ac:dyDescent="0.35">
      <c r="A9" s="2" t="s">
        <v>689</v>
      </c>
      <c r="B9" s="2" t="s">
        <v>649</v>
      </c>
      <c r="C9" s="2"/>
      <c r="D9" s="2" t="s">
        <v>671</v>
      </c>
      <c r="E9" s="2" t="s">
        <v>690</v>
      </c>
      <c r="F9" s="2" t="s">
        <v>691</v>
      </c>
      <c r="G9" s="2" t="s">
        <v>692</v>
      </c>
      <c r="H9" s="2" t="s">
        <v>311</v>
      </c>
      <c r="I9" s="2" t="s">
        <v>693</v>
      </c>
      <c r="J9" s="2" t="s">
        <v>694</v>
      </c>
      <c r="K9" s="2" t="s">
        <v>39</v>
      </c>
      <c r="L9" s="2" t="s">
        <v>456</v>
      </c>
      <c r="M9" s="2" t="s">
        <v>41</v>
      </c>
      <c r="N9" s="6" t="s">
        <v>191</v>
      </c>
      <c r="O9" s="6" t="s">
        <v>693</v>
      </c>
      <c r="P9" s="6" t="s">
        <v>691</v>
      </c>
      <c r="Q9" s="6" t="s">
        <v>319</v>
      </c>
      <c r="R9" s="6" t="s">
        <v>694</v>
      </c>
      <c r="S9" s="6" t="s">
        <v>456</v>
      </c>
      <c r="T9" s="6" t="s">
        <v>45</v>
      </c>
      <c r="U9" s="6"/>
      <c r="V9" s="6">
        <v>49</v>
      </c>
      <c r="W9" s="6" t="s">
        <v>46</v>
      </c>
    </row>
    <row r="10" spans="1:23" ht="43.5" x14ac:dyDescent="0.35">
      <c r="A10" s="2" t="s">
        <v>695</v>
      </c>
      <c r="B10" s="2" t="s">
        <v>649</v>
      </c>
      <c r="C10" s="2"/>
      <c r="D10" s="2" t="s">
        <v>696</v>
      </c>
      <c r="E10" s="2"/>
      <c r="F10" s="2"/>
      <c r="G10" s="2"/>
      <c r="H10" s="2"/>
      <c r="I10" s="2"/>
      <c r="J10" s="2"/>
      <c r="K10" s="2"/>
      <c r="L10" s="2"/>
      <c r="M10" s="2" t="s">
        <v>697</v>
      </c>
    </row>
    <row r="11" spans="1:23" ht="58" x14ac:dyDescent="0.35">
      <c r="A11" s="2" t="s">
        <v>698</v>
      </c>
      <c r="B11" s="2" t="s">
        <v>649</v>
      </c>
      <c r="C11" s="2"/>
      <c r="D11" s="2" t="s">
        <v>696</v>
      </c>
      <c r="E11" s="2" t="s">
        <v>699</v>
      </c>
      <c r="F11" s="2" t="s">
        <v>700</v>
      </c>
      <c r="G11" s="2" t="s">
        <v>701</v>
      </c>
      <c r="H11" s="2" t="s">
        <v>311</v>
      </c>
      <c r="I11" s="2" t="s">
        <v>702</v>
      </c>
      <c r="J11" s="2" t="s">
        <v>703</v>
      </c>
      <c r="K11" s="2" t="s">
        <v>39</v>
      </c>
      <c r="L11" s="2" t="s">
        <v>456</v>
      </c>
      <c r="M11" s="2" t="s">
        <v>41</v>
      </c>
      <c r="N11" s="6" t="s">
        <v>191</v>
      </c>
      <c r="O11" s="6" t="s">
        <v>702</v>
      </c>
      <c r="P11" s="6" t="s">
        <v>700</v>
      </c>
      <c r="Q11" s="6" t="s">
        <v>319</v>
      </c>
      <c r="R11" s="6" t="s">
        <v>703</v>
      </c>
      <c r="S11" s="6" t="s">
        <v>456</v>
      </c>
      <c r="T11" s="6" t="s">
        <v>45</v>
      </c>
      <c r="U11" s="6"/>
      <c r="V11" s="6">
        <v>48</v>
      </c>
      <c r="W11" s="6" t="s">
        <v>46</v>
      </c>
    </row>
    <row r="12" spans="1:23" ht="58" x14ac:dyDescent="0.35">
      <c r="A12" s="2" t="s">
        <v>704</v>
      </c>
      <c r="B12" s="2" t="s">
        <v>649</v>
      </c>
      <c r="C12" s="2"/>
      <c r="D12" s="2" t="s">
        <v>696</v>
      </c>
      <c r="E12" s="2" t="s">
        <v>705</v>
      </c>
      <c r="F12" s="2" t="s">
        <v>706</v>
      </c>
      <c r="G12" s="2" t="s">
        <v>707</v>
      </c>
      <c r="H12" s="2" t="s">
        <v>311</v>
      </c>
      <c r="I12" s="2" t="s">
        <v>708</v>
      </c>
      <c r="J12" s="2" t="s">
        <v>709</v>
      </c>
      <c r="K12" s="2" t="s">
        <v>188</v>
      </c>
      <c r="L12" s="2" t="s">
        <v>456</v>
      </c>
      <c r="M12" s="2" t="s">
        <v>41</v>
      </c>
      <c r="N12" s="6" t="s">
        <v>191</v>
      </c>
      <c r="O12" s="6" t="s">
        <v>708</v>
      </c>
      <c r="P12" s="6" t="s">
        <v>706</v>
      </c>
      <c r="Q12" s="6" t="s">
        <v>319</v>
      </c>
      <c r="R12" s="6" t="s">
        <v>709</v>
      </c>
      <c r="S12" s="6" t="s">
        <v>456</v>
      </c>
      <c r="T12" s="6" t="s">
        <v>45</v>
      </c>
      <c r="U12" s="6"/>
      <c r="V12" s="6">
        <v>50</v>
      </c>
      <c r="W12" s="6" t="s">
        <v>46</v>
      </c>
    </row>
    <row r="13" spans="1:23" ht="72.5" x14ac:dyDescent="0.35">
      <c r="A13" s="2" t="s">
        <v>710</v>
      </c>
      <c r="B13" s="2" t="s">
        <v>649</v>
      </c>
      <c r="C13" s="2" t="s">
        <v>696</v>
      </c>
      <c r="D13" s="2" t="s">
        <v>711</v>
      </c>
      <c r="E13" s="2" t="s">
        <v>712</v>
      </c>
      <c r="F13" s="2" t="s">
        <v>713</v>
      </c>
      <c r="G13" s="2" t="s">
        <v>714</v>
      </c>
      <c r="H13" s="2" t="s">
        <v>319</v>
      </c>
      <c r="I13" s="2" t="s">
        <v>715</v>
      </c>
      <c r="J13" s="2" t="s">
        <v>714</v>
      </c>
      <c r="K13" s="2" t="s">
        <v>714</v>
      </c>
      <c r="L13" s="2" t="s">
        <v>716</v>
      </c>
      <c r="M13" s="2" t="s">
        <v>717</v>
      </c>
      <c r="N13" s="6" t="s">
        <v>597</v>
      </c>
      <c r="O13" s="6" t="s">
        <v>715</v>
      </c>
      <c r="P13" s="6" t="s">
        <v>713</v>
      </c>
      <c r="Q13" s="6" t="s">
        <v>319</v>
      </c>
      <c r="R13" s="6" t="s">
        <v>714</v>
      </c>
      <c r="S13" s="6" t="s">
        <v>716</v>
      </c>
      <c r="T13" s="6" t="s">
        <v>45</v>
      </c>
      <c r="U13" s="6"/>
      <c r="V13" s="6">
        <v>43</v>
      </c>
      <c r="W13" s="6" t="s">
        <v>718</v>
      </c>
    </row>
    <row r="14" spans="1:23" ht="58" x14ac:dyDescent="0.35">
      <c r="A14" s="2" t="s">
        <v>719</v>
      </c>
      <c r="B14" s="2" t="s">
        <v>649</v>
      </c>
      <c r="C14" s="2"/>
      <c r="D14" s="2" t="s">
        <v>148</v>
      </c>
      <c r="E14" s="2"/>
      <c r="F14" s="2"/>
      <c r="G14" s="2"/>
      <c r="H14" s="2"/>
      <c r="I14" s="2"/>
      <c r="J14" s="2"/>
      <c r="K14" s="2"/>
      <c r="L14" s="2"/>
      <c r="M14" s="2" t="s">
        <v>720</v>
      </c>
    </row>
    <row r="15" spans="1:23" ht="72.5" x14ac:dyDescent="0.35">
      <c r="A15" s="2" t="s">
        <v>721</v>
      </c>
      <c r="B15" s="2" t="s">
        <v>649</v>
      </c>
      <c r="C15" s="2"/>
      <c r="D15" s="2" t="s">
        <v>148</v>
      </c>
      <c r="E15" s="2" t="s">
        <v>722</v>
      </c>
      <c r="F15" s="2" t="s">
        <v>723</v>
      </c>
      <c r="G15" s="2" t="s">
        <v>724</v>
      </c>
      <c r="H15" s="2" t="s">
        <v>36</v>
      </c>
      <c r="I15" s="2" t="s">
        <v>725</v>
      </c>
      <c r="J15" s="2" t="s">
        <v>726</v>
      </c>
      <c r="K15" s="2" t="s">
        <v>727</v>
      </c>
      <c r="L15" s="2" t="s">
        <v>728</v>
      </c>
      <c r="M15" s="2" t="s">
        <v>41</v>
      </c>
      <c r="N15" s="6" t="s">
        <v>148</v>
      </c>
      <c r="O15" s="6" t="s">
        <v>729</v>
      </c>
      <c r="P15" s="6" t="s">
        <v>730</v>
      </c>
      <c r="Q15" s="6" t="s">
        <v>44</v>
      </c>
      <c r="R15" s="6" t="s">
        <v>726</v>
      </c>
      <c r="S15" s="6" t="s">
        <v>728</v>
      </c>
      <c r="T15" s="6" t="s">
        <v>45</v>
      </c>
      <c r="U15" s="6"/>
      <c r="V15" s="6">
        <v>52</v>
      </c>
      <c r="W15" s="6" t="s">
        <v>46</v>
      </c>
    </row>
    <row r="16" spans="1:23" ht="87" x14ac:dyDescent="0.35">
      <c r="A16" s="2" t="s">
        <v>731</v>
      </c>
      <c r="B16" s="2" t="s">
        <v>649</v>
      </c>
      <c r="C16" s="2"/>
      <c r="D16" s="2" t="s">
        <v>148</v>
      </c>
      <c r="E16" s="2" t="s">
        <v>732</v>
      </c>
      <c r="F16" s="2" t="s">
        <v>733</v>
      </c>
      <c r="G16" s="2" t="s">
        <v>734</v>
      </c>
      <c r="H16" s="2" t="s">
        <v>36</v>
      </c>
      <c r="I16" s="2" t="s">
        <v>735</v>
      </c>
      <c r="J16" s="2" t="s">
        <v>736</v>
      </c>
      <c r="K16" s="2" t="s">
        <v>506</v>
      </c>
      <c r="L16" s="2" t="s">
        <v>728</v>
      </c>
      <c r="M16" s="2" t="s">
        <v>41</v>
      </c>
      <c r="N16" s="6" t="s">
        <v>148</v>
      </c>
      <c r="O16" s="6" t="s">
        <v>737</v>
      </c>
      <c r="P16" s="6" t="s">
        <v>738</v>
      </c>
      <c r="Q16" s="6" t="s">
        <v>44</v>
      </c>
      <c r="R16" s="6" t="s">
        <v>736</v>
      </c>
      <c r="S16" s="6" t="s">
        <v>728</v>
      </c>
      <c r="T16" s="6" t="s">
        <v>45</v>
      </c>
      <c r="U16" s="6"/>
      <c r="V16" s="6">
        <v>53</v>
      </c>
      <c r="W16" s="6" t="s">
        <v>46</v>
      </c>
    </row>
    <row r="17" spans="1:23" ht="101.5" x14ac:dyDescent="0.35">
      <c r="A17" s="2" t="s">
        <v>739</v>
      </c>
      <c r="B17" s="2" t="s">
        <v>649</v>
      </c>
      <c r="C17" s="2"/>
      <c r="D17" s="2" t="s">
        <v>148</v>
      </c>
      <c r="E17" s="2" t="s">
        <v>740</v>
      </c>
      <c r="F17" s="2" t="s">
        <v>741</v>
      </c>
      <c r="G17" s="2" t="s">
        <v>742</v>
      </c>
      <c r="H17" s="2" t="s">
        <v>36</v>
      </c>
      <c r="I17" s="2" t="s">
        <v>743</v>
      </c>
      <c r="J17" s="2" t="s">
        <v>744</v>
      </c>
      <c r="K17" s="2" t="s">
        <v>188</v>
      </c>
      <c r="L17" s="2" t="s">
        <v>745</v>
      </c>
      <c r="M17" s="2" t="s">
        <v>41</v>
      </c>
      <c r="N17" s="6" t="s">
        <v>148</v>
      </c>
      <c r="O17" s="6" t="s">
        <v>746</v>
      </c>
      <c r="P17" s="6" t="s">
        <v>747</v>
      </c>
      <c r="Q17" s="6" t="s">
        <v>44</v>
      </c>
      <c r="R17" s="6" t="s">
        <v>744</v>
      </c>
      <c r="S17" s="6" t="s">
        <v>745</v>
      </c>
      <c r="T17" s="6" t="s">
        <v>45</v>
      </c>
      <c r="U17" s="6"/>
      <c r="V17" s="6">
        <v>54</v>
      </c>
      <c r="W17" s="6" t="s">
        <v>46</v>
      </c>
    </row>
    <row r="18" spans="1:23" ht="72.5" x14ac:dyDescent="0.35">
      <c r="A18" s="2" t="s">
        <v>748</v>
      </c>
      <c r="B18" s="2" t="s">
        <v>649</v>
      </c>
      <c r="C18" s="2"/>
      <c r="D18" s="2" t="s">
        <v>148</v>
      </c>
      <c r="E18" s="2" t="s">
        <v>749</v>
      </c>
      <c r="F18" s="2" t="s">
        <v>750</v>
      </c>
      <c r="G18" s="2" t="s">
        <v>751</v>
      </c>
      <c r="H18" s="2" t="s">
        <v>36</v>
      </c>
      <c r="I18" s="2" t="s">
        <v>752</v>
      </c>
      <c r="J18" s="2" t="s">
        <v>753</v>
      </c>
      <c r="K18" s="2" t="s">
        <v>188</v>
      </c>
      <c r="L18" s="2" t="s">
        <v>400</v>
      </c>
      <c r="M18" s="2" t="s">
        <v>41</v>
      </c>
      <c r="N18" s="6" t="s">
        <v>148</v>
      </c>
      <c r="O18" s="6" t="s">
        <v>752</v>
      </c>
      <c r="P18" s="6" t="s">
        <v>750</v>
      </c>
      <c r="Q18" s="6" t="s">
        <v>44</v>
      </c>
      <c r="R18" s="6" t="s">
        <v>753</v>
      </c>
      <c r="S18" s="6" t="s">
        <v>400</v>
      </c>
      <c r="T18" s="6" t="s">
        <v>45</v>
      </c>
      <c r="U18" s="6"/>
      <c r="V18" s="6">
        <v>55</v>
      </c>
      <c r="W18" s="6" t="s">
        <v>46</v>
      </c>
    </row>
  </sheetData>
  <autoFilter ref="A1:W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7"/>
  <sheetViews>
    <sheetView workbookViewId="0">
      <pane ySplit="1" topLeftCell="A36" activePane="bottomLeft" state="frozen"/>
      <selection pane="bottomLeft" activeCell="C2" sqref="C2"/>
    </sheetView>
  </sheetViews>
  <sheetFormatPr defaultRowHeight="14.5" x14ac:dyDescent="0.35"/>
  <cols>
    <col min="1" max="2" width="14" customWidth="1"/>
    <col min="3" max="3" width="24" customWidth="1"/>
    <col min="4" max="4" width="25" customWidth="1"/>
    <col min="5" max="5" width="42" customWidth="1"/>
    <col min="6" max="6" width="50" customWidth="1"/>
    <col min="7" max="7" width="24" customWidth="1"/>
    <col min="8" max="8" width="38" customWidth="1"/>
    <col min="9" max="10" width="14" customWidth="1"/>
    <col min="11" max="11" width="28" customWidth="1"/>
    <col min="12" max="12" width="42" customWidth="1"/>
  </cols>
  <sheetData>
    <row r="1" spans="1:12" ht="29" x14ac:dyDescent="0.35">
      <c r="A1" s="7" t="s">
        <v>1</v>
      </c>
      <c r="B1" s="7" t="s">
        <v>0</v>
      </c>
      <c r="C1" s="7" t="s">
        <v>2</v>
      </c>
      <c r="D1" s="7" t="s">
        <v>3</v>
      </c>
      <c r="E1" s="7" t="s">
        <v>754</v>
      </c>
      <c r="F1" s="7" t="s">
        <v>755</v>
      </c>
      <c r="G1" s="7" t="s">
        <v>756</v>
      </c>
      <c r="H1" s="7" t="s">
        <v>757</v>
      </c>
      <c r="I1" s="7" t="s">
        <v>758</v>
      </c>
      <c r="J1" s="7" t="s">
        <v>19</v>
      </c>
      <c r="K1" s="7" t="s">
        <v>20</v>
      </c>
      <c r="L1" s="7" t="s">
        <v>22</v>
      </c>
    </row>
    <row r="2" spans="1:12" ht="29" x14ac:dyDescent="0.35">
      <c r="A2" s="6" t="s">
        <v>24</v>
      </c>
      <c r="B2" s="6" t="s">
        <v>32</v>
      </c>
      <c r="C2" s="6" t="s">
        <v>27</v>
      </c>
      <c r="D2" s="6" t="s">
        <v>30</v>
      </c>
      <c r="E2" s="6" t="s">
        <v>33</v>
      </c>
      <c r="F2" s="6" t="s">
        <v>34</v>
      </c>
      <c r="G2" s="6" t="s">
        <v>759</v>
      </c>
      <c r="H2" s="6" t="s">
        <v>42</v>
      </c>
      <c r="I2" s="6">
        <v>38</v>
      </c>
      <c r="J2" s="6" t="s">
        <v>45</v>
      </c>
      <c r="K2" s="6"/>
      <c r="L2" s="6" t="s">
        <v>46</v>
      </c>
    </row>
    <row r="3" spans="1:12" ht="43.5" x14ac:dyDescent="0.35">
      <c r="A3" s="6" t="s">
        <v>24</v>
      </c>
      <c r="B3" s="6" t="s">
        <v>47</v>
      </c>
      <c r="C3" s="6" t="s">
        <v>27</v>
      </c>
      <c r="D3" s="6" t="s">
        <v>30</v>
      </c>
      <c r="E3" s="6" t="s">
        <v>48</v>
      </c>
      <c r="F3" s="6" t="s">
        <v>49</v>
      </c>
      <c r="G3" s="6" t="s">
        <v>759</v>
      </c>
      <c r="H3" s="6" t="s">
        <v>56</v>
      </c>
      <c r="I3" s="6">
        <v>37</v>
      </c>
      <c r="J3" s="6" t="s">
        <v>60</v>
      </c>
      <c r="K3" s="6"/>
      <c r="L3" s="6" t="s">
        <v>61</v>
      </c>
    </row>
    <row r="4" spans="1:12" ht="43.5" x14ac:dyDescent="0.35">
      <c r="A4" s="6" t="s">
        <v>24</v>
      </c>
      <c r="B4" s="6" t="s">
        <v>62</v>
      </c>
      <c r="C4" s="6" t="s">
        <v>27</v>
      </c>
      <c r="D4" s="6" t="s">
        <v>30</v>
      </c>
      <c r="E4" s="6" t="s">
        <v>63</v>
      </c>
      <c r="F4" s="6" t="s">
        <v>49</v>
      </c>
      <c r="G4" s="6" t="s">
        <v>759</v>
      </c>
      <c r="H4" s="6" t="s">
        <v>56</v>
      </c>
      <c r="I4" s="6">
        <v>37</v>
      </c>
      <c r="J4" s="6" t="s">
        <v>60</v>
      </c>
      <c r="K4" s="6"/>
      <c r="L4" s="6" t="s">
        <v>61</v>
      </c>
    </row>
    <row r="5" spans="1:12" ht="58" x14ac:dyDescent="0.35">
      <c r="A5" s="6" t="s">
        <v>24</v>
      </c>
      <c r="B5" s="6" t="s">
        <v>67</v>
      </c>
      <c r="C5" s="6" t="s">
        <v>27</v>
      </c>
      <c r="D5" s="6" t="s">
        <v>30</v>
      </c>
      <c r="E5" s="6" t="s">
        <v>68</v>
      </c>
      <c r="F5" s="6" t="s">
        <v>69</v>
      </c>
      <c r="G5" s="6" t="s">
        <v>759</v>
      </c>
      <c r="H5" s="6" t="s">
        <v>56</v>
      </c>
      <c r="I5" s="6">
        <v>37</v>
      </c>
      <c r="J5" s="6" t="s">
        <v>60</v>
      </c>
      <c r="K5" s="6"/>
      <c r="L5" s="6" t="s">
        <v>61</v>
      </c>
    </row>
    <row r="6" spans="1:12" ht="58" x14ac:dyDescent="0.35">
      <c r="A6" s="6" t="s">
        <v>24</v>
      </c>
      <c r="B6" s="6" t="s">
        <v>74</v>
      </c>
      <c r="C6" s="6" t="s">
        <v>27</v>
      </c>
      <c r="D6" s="6" t="s">
        <v>30</v>
      </c>
      <c r="E6" s="6" t="s">
        <v>75</v>
      </c>
      <c r="F6" s="6" t="s">
        <v>69</v>
      </c>
      <c r="G6" s="6" t="s">
        <v>759</v>
      </c>
      <c r="H6" s="6" t="s">
        <v>56</v>
      </c>
      <c r="I6" s="6">
        <v>37</v>
      </c>
      <c r="J6" s="6" t="s">
        <v>60</v>
      </c>
      <c r="K6" s="6"/>
      <c r="L6" s="6" t="s">
        <v>61</v>
      </c>
    </row>
    <row r="7" spans="1:12" ht="58" x14ac:dyDescent="0.35">
      <c r="A7" s="6" t="s">
        <v>24</v>
      </c>
      <c r="B7" s="6" t="s">
        <v>79</v>
      </c>
      <c r="C7" s="6" t="s">
        <v>27</v>
      </c>
      <c r="D7" s="6" t="s">
        <v>30</v>
      </c>
      <c r="E7" s="6" t="s">
        <v>80</v>
      </c>
      <c r="F7" s="6" t="s">
        <v>81</v>
      </c>
      <c r="G7" s="6" t="s">
        <v>759</v>
      </c>
      <c r="H7" s="6" t="s">
        <v>56</v>
      </c>
      <c r="I7" s="6">
        <v>37</v>
      </c>
      <c r="J7" s="6" t="s">
        <v>60</v>
      </c>
      <c r="K7" s="6"/>
      <c r="L7" s="6" t="s">
        <v>61</v>
      </c>
    </row>
    <row r="8" spans="1:12" ht="58" x14ac:dyDescent="0.35">
      <c r="A8" s="6" t="s">
        <v>24</v>
      </c>
      <c r="B8" s="6" t="s">
        <v>86</v>
      </c>
      <c r="C8" s="6" t="s">
        <v>27</v>
      </c>
      <c r="D8" s="6" t="s">
        <v>30</v>
      </c>
      <c r="E8" s="6" t="s">
        <v>87</v>
      </c>
      <c r="F8" s="6" t="s">
        <v>88</v>
      </c>
      <c r="G8" s="6" t="s">
        <v>759</v>
      </c>
      <c r="H8" s="6" t="s">
        <v>56</v>
      </c>
      <c r="I8" s="6">
        <v>37</v>
      </c>
      <c r="J8" s="6" t="s">
        <v>60</v>
      </c>
      <c r="K8" s="6"/>
      <c r="L8" s="6" t="s">
        <v>61</v>
      </c>
    </row>
    <row r="9" spans="1:12" ht="58" x14ac:dyDescent="0.35">
      <c r="A9" s="6" t="s">
        <v>24</v>
      </c>
      <c r="B9" s="6" t="s">
        <v>93</v>
      </c>
      <c r="C9" s="6" t="s">
        <v>27</v>
      </c>
      <c r="D9" s="6" t="s">
        <v>30</v>
      </c>
      <c r="E9" s="6" t="s">
        <v>94</v>
      </c>
      <c r="F9" s="6" t="s">
        <v>95</v>
      </c>
      <c r="G9" s="6" t="s">
        <v>759</v>
      </c>
      <c r="H9" s="6" t="s">
        <v>56</v>
      </c>
      <c r="I9" s="6">
        <v>37</v>
      </c>
      <c r="J9" s="6" t="s">
        <v>60</v>
      </c>
      <c r="K9" s="6"/>
      <c r="L9" s="6" t="s">
        <v>61</v>
      </c>
    </row>
    <row r="10" spans="1:12" ht="58" x14ac:dyDescent="0.35">
      <c r="A10" s="6" t="s">
        <v>24</v>
      </c>
      <c r="B10" s="6" t="s">
        <v>100</v>
      </c>
      <c r="C10" s="6" t="s">
        <v>27</v>
      </c>
      <c r="D10" s="6" t="s">
        <v>30</v>
      </c>
      <c r="E10" s="6" t="s">
        <v>101</v>
      </c>
      <c r="F10" s="6" t="s">
        <v>102</v>
      </c>
      <c r="G10" s="6" t="s">
        <v>759</v>
      </c>
      <c r="H10" s="6" t="s">
        <v>56</v>
      </c>
      <c r="I10" s="6">
        <v>37</v>
      </c>
      <c r="J10" s="6" t="s">
        <v>60</v>
      </c>
      <c r="K10" s="6"/>
      <c r="L10" s="6" t="s">
        <v>61</v>
      </c>
    </row>
    <row r="11" spans="1:12" ht="58" x14ac:dyDescent="0.35">
      <c r="A11" s="6" t="s">
        <v>24</v>
      </c>
      <c r="B11" s="6" t="s">
        <v>107</v>
      </c>
      <c r="C11" s="6" t="s">
        <v>27</v>
      </c>
      <c r="D11" s="6" t="s">
        <v>30</v>
      </c>
      <c r="E11" s="6" t="s">
        <v>108</v>
      </c>
      <c r="F11" s="6" t="s">
        <v>109</v>
      </c>
      <c r="G11" s="6" t="s">
        <v>759</v>
      </c>
      <c r="H11" s="6" t="s">
        <v>56</v>
      </c>
      <c r="I11" s="6">
        <v>37</v>
      </c>
      <c r="J11" s="6" t="s">
        <v>60</v>
      </c>
      <c r="K11" s="6"/>
      <c r="L11" s="6" t="s">
        <v>61</v>
      </c>
    </row>
    <row r="12" spans="1:12" ht="58" x14ac:dyDescent="0.35">
      <c r="A12" s="6" t="s">
        <v>24</v>
      </c>
      <c r="B12" s="6" t="s">
        <v>113</v>
      </c>
      <c r="C12" s="6" t="s">
        <v>27</v>
      </c>
      <c r="D12" s="6" t="s">
        <v>30</v>
      </c>
      <c r="E12" s="6" t="s">
        <v>114</v>
      </c>
      <c r="F12" s="6" t="s">
        <v>115</v>
      </c>
      <c r="G12" s="6" t="s">
        <v>759</v>
      </c>
      <c r="H12" s="6"/>
      <c r="I12" s="6"/>
      <c r="J12" s="6"/>
      <c r="K12" s="6"/>
      <c r="L12" s="6"/>
    </row>
    <row r="13" spans="1:12" ht="58" x14ac:dyDescent="0.35">
      <c r="A13" s="6" t="s">
        <v>24</v>
      </c>
      <c r="B13" s="6" t="s">
        <v>120</v>
      </c>
      <c r="C13" s="6" t="s">
        <v>27</v>
      </c>
      <c r="D13" s="6" t="s">
        <v>30</v>
      </c>
      <c r="E13" s="6" t="s">
        <v>121</v>
      </c>
      <c r="F13" s="6" t="s">
        <v>122</v>
      </c>
      <c r="G13" s="6" t="s">
        <v>759</v>
      </c>
      <c r="H13" s="6"/>
      <c r="I13" s="6"/>
      <c r="J13" s="6"/>
      <c r="K13" s="6"/>
      <c r="L13" s="6"/>
    </row>
    <row r="14" spans="1:12" ht="58" x14ac:dyDescent="0.35">
      <c r="A14" s="6" t="s">
        <v>24</v>
      </c>
      <c r="B14" s="6" t="s">
        <v>126</v>
      </c>
      <c r="C14" s="6" t="s">
        <v>27</v>
      </c>
      <c r="D14" s="6" t="s">
        <v>30</v>
      </c>
      <c r="E14" s="6" t="s">
        <v>127</v>
      </c>
      <c r="F14" s="6" t="s">
        <v>128</v>
      </c>
      <c r="G14" s="6" t="s">
        <v>759</v>
      </c>
      <c r="H14" s="6"/>
      <c r="I14" s="6"/>
      <c r="J14" s="6"/>
      <c r="K14" s="6"/>
      <c r="L14" s="6"/>
    </row>
    <row r="15" spans="1:12" ht="58" x14ac:dyDescent="0.35">
      <c r="A15" s="6" t="s">
        <v>24</v>
      </c>
      <c r="B15" s="6" t="s">
        <v>133</v>
      </c>
      <c r="C15" s="6" t="s">
        <v>27</v>
      </c>
      <c r="D15" s="6" t="s">
        <v>30</v>
      </c>
      <c r="E15" s="6" t="s">
        <v>134</v>
      </c>
      <c r="F15" s="6" t="s">
        <v>128</v>
      </c>
      <c r="G15" s="6" t="s">
        <v>759</v>
      </c>
      <c r="H15" s="6"/>
      <c r="I15" s="6"/>
      <c r="J15" s="6"/>
      <c r="K15" s="6"/>
      <c r="L15" s="6"/>
    </row>
    <row r="16" spans="1:12" ht="58" x14ac:dyDescent="0.35">
      <c r="A16" s="6" t="s">
        <v>24</v>
      </c>
      <c r="B16" s="6" t="s">
        <v>141</v>
      </c>
      <c r="C16" s="6" t="s">
        <v>27</v>
      </c>
      <c r="D16" s="6" t="s">
        <v>139</v>
      </c>
      <c r="E16" s="6" t="s">
        <v>142</v>
      </c>
      <c r="F16" s="6" t="s">
        <v>143</v>
      </c>
      <c r="G16" s="6" t="s">
        <v>759</v>
      </c>
      <c r="H16" s="6" t="s">
        <v>149</v>
      </c>
      <c r="I16" s="6">
        <v>56</v>
      </c>
      <c r="J16" s="6" t="s">
        <v>45</v>
      </c>
      <c r="K16" s="6"/>
      <c r="L16" s="6" t="s">
        <v>153</v>
      </c>
    </row>
    <row r="17" spans="1:12" ht="58" x14ac:dyDescent="0.35">
      <c r="A17" s="6" t="s">
        <v>24</v>
      </c>
      <c r="B17" s="6" t="s">
        <v>154</v>
      </c>
      <c r="C17" s="6" t="s">
        <v>27</v>
      </c>
      <c r="D17" s="6" t="s">
        <v>139</v>
      </c>
      <c r="E17" s="6" t="s">
        <v>155</v>
      </c>
      <c r="F17" s="6" t="s">
        <v>156</v>
      </c>
      <c r="G17" s="6" t="s">
        <v>759</v>
      </c>
      <c r="H17" s="6" t="s">
        <v>149</v>
      </c>
      <c r="I17" s="6">
        <v>56</v>
      </c>
      <c r="J17" s="6" t="s">
        <v>45</v>
      </c>
      <c r="K17" s="6"/>
      <c r="L17" s="6" t="s">
        <v>153</v>
      </c>
    </row>
    <row r="18" spans="1:12" ht="58" x14ac:dyDescent="0.35">
      <c r="A18" s="6" t="s">
        <v>24</v>
      </c>
      <c r="B18" s="6" t="s">
        <v>161</v>
      </c>
      <c r="C18" s="6" t="s">
        <v>27</v>
      </c>
      <c r="D18" s="6" t="s">
        <v>139</v>
      </c>
      <c r="E18" s="6" t="s">
        <v>162</v>
      </c>
      <c r="F18" s="6" t="s">
        <v>156</v>
      </c>
      <c r="G18" s="6" t="s">
        <v>759</v>
      </c>
      <c r="H18" s="6" t="s">
        <v>149</v>
      </c>
      <c r="I18" s="6">
        <v>56</v>
      </c>
      <c r="J18" s="6" t="s">
        <v>45</v>
      </c>
      <c r="K18" s="6"/>
      <c r="L18" s="6" t="s">
        <v>153</v>
      </c>
    </row>
    <row r="19" spans="1:12" ht="58" x14ac:dyDescent="0.35">
      <c r="A19" s="6" t="s">
        <v>24</v>
      </c>
      <c r="B19" s="6" t="s">
        <v>166</v>
      </c>
      <c r="C19" s="6" t="s">
        <v>27</v>
      </c>
      <c r="D19" s="6" t="s">
        <v>139</v>
      </c>
      <c r="E19" s="6" t="s">
        <v>167</v>
      </c>
      <c r="F19" s="6" t="s">
        <v>168</v>
      </c>
      <c r="G19" s="6" t="s">
        <v>759</v>
      </c>
      <c r="H19" s="6"/>
      <c r="I19" s="6"/>
      <c r="J19" s="6"/>
      <c r="K19" s="6"/>
      <c r="L19" s="6"/>
    </row>
    <row r="20" spans="1:12" ht="43.5" x14ac:dyDescent="0.35">
      <c r="A20" s="6" t="s">
        <v>24</v>
      </c>
      <c r="B20" s="6" t="s">
        <v>173</v>
      </c>
      <c r="C20" s="6" t="s">
        <v>27</v>
      </c>
      <c r="D20" s="6" t="s">
        <v>139</v>
      </c>
      <c r="E20" s="6" t="s">
        <v>174</v>
      </c>
      <c r="F20" s="6" t="s">
        <v>175</v>
      </c>
      <c r="G20" s="6" t="s">
        <v>759</v>
      </c>
      <c r="H20" s="6"/>
      <c r="I20" s="6"/>
      <c r="J20" s="6"/>
      <c r="K20" s="6"/>
      <c r="L20" s="6"/>
    </row>
    <row r="21" spans="1:12" ht="29" x14ac:dyDescent="0.35">
      <c r="A21" s="6" t="s">
        <v>24</v>
      </c>
      <c r="B21" s="6" t="s">
        <v>182</v>
      </c>
      <c r="C21" s="6" t="s">
        <v>27</v>
      </c>
      <c r="D21" s="6" t="s">
        <v>180</v>
      </c>
      <c r="E21" s="6" t="s">
        <v>183</v>
      </c>
      <c r="F21" s="6" t="s">
        <v>184</v>
      </c>
      <c r="G21" s="6" t="s">
        <v>759</v>
      </c>
      <c r="H21" s="6" t="s">
        <v>192</v>
      </c>
      <c r="I21" s="6">
        <v>47</v>
      </c>
      <c r="J21" s="6" t="s">
        <v>60</v>
      </c>
      <c r="K21" s="6"/>
      <c r="L21" s="6" t="s">
        <v>46</v>
      </c>
    </row>
    <row r="22" spans="1:12" ht="58" x14ac:dyDescent="0.35">
      <c r="A22" s="6" t="s">
        <v>24</v>
      </c>
      <c r="B22" s="6" t="s">
        <v>194</v>
      </c>
      <c r="C22" s="6" t="s">
        <v>27</v>
      </c>
      <c r="D22" s="6" t="s">
        <v>180</v>
      </c>
      <c r="E22" s="6" t="s">
        <v>195</v>
      </c>
      <c r="F22" s="6" t="s">
        <v>196</v>
      </c>
      <c r="G22" s="6" t="s">
        <v>759</v>
      </c>
      <c r="H22" s="6"/>
      <c r="I22" s="6"/>
      <c r="J22" s="6"/>
      <c r="K22" s="6"/>
      <c r="L22" s="6"/>
    </row>
    <row r="23" spans="1:12" ht="58" x14ac:dyDescent="0.35">
      <c r="A23" s="6" t="s">
        <v>24</v>
      </c>
      <c r="B23" s="6" t="s">
        <v>201</v>
      </c>
      <c r="C23" s="6" t="s">
        <v>27</v>
      </c>
      <c r="D23" s="6" t="s">
        <v>180</v>
      </c>
      <c r="E23" s="6" t="s">
        <v>202</v>
      </c>
      <c r="F23" s="6" t="s">
        <v>196</v>
      </c>
      <c r="G23" s="6" t="s">
        <v>759</v>
      </c>
      <c r="H23" s="6"/>
      <c r="I23" s="6"/>
      <c r="J23" s="6"/>
      <c r="K23" s="6"/>
      <c r="L23" s="6"/>
    </row>
    <row r="24" spans="1:12" ht="43.5" x14ac:dyDescent="0.35">
      <c r="A24" s="6" t="s">
        <v>24</v>
      </c>
      <c r="B24" s="6" t="s">
        <v>206</v>
      </c>
      <c r="C24" s="6" t="s">
        <v>27</v>
      </c>
      <c r="D24" s="6" t="s">
        <v>180</v>
      </c>
      <c r="E24" s="6" t="s">
        <v>207</v>
      </c>
      <c r="F24" s="6" t="s">
        <v>208</v>
      </c>
      <c r="G24" s="6" t="s">
        <v>759</v>
      </c>
      <c r="H24" s="6"/>
      <c r="I24" s="6"/>
      <c r="J24" s="6"/>
      <c r="K24" s="6"/>
      <c r="L24" s="6"/>
    </row>
    <row r="25" spans="1:12" ht="58" x14ac:dyDescent="0.35">
      <c r="A25" s="6" t="s">
        <v>24</v>
      </c>
      <c r="B25" s="6" t="s">
        <v>217</v>
      </c>
      <c r="C25" s="6" t="s">
        <v>148</v>
      </c>
      <c r="D25" s="6" t="s">
        <v>30</v>
      </c>
      <c r="E25" s="6" t="s">
        <v>218</v>
      </c>
      <c r="F25" s="6" t="s">
        <v>219</v>
      </c>
      <c r="G25" s="6" t="s">
        <v>759</v>
      </c>
      <c r="H25" s="6"/>
      <c r="I25" s="6"/>
      <c r="J25" s="6"/>
      <c r="K25" s="6"/>
      <c r="L25" s="6"/>
    </row>
    <row r="26" spans="1:12" ht="58" x14ac:dyDescent="0.35">
      <c r="A26" s="6" t="s">
        <v>24</v>
      </c>
      <c r="B26" s="6" t="s">
        <v>225</v>
      </c>
      <c r="C26" s="6" t="s">
        <v>148</v>
      </c>
      <c r="D26" s="6" t="s">
        <v>30</v>
      </c>
      <c r="E26" s="6" t="s">
        <v>226</v>
      </c>
      <c r="F26" s="6" t="s">
        <v>219</v>
      </c>
      <c r="G26" s="6" t="s">
        <v>759</v>
      </c>
      <c r="H26" s="6"/>
      <c r="I26" s="6"/>
      <c r="J26" s="6"/>
      <c r="K26" s="6"/>
      <c r="L26" s="6"/>
    </row>
    <row r="27" spans="1:12" ht="58" x14ac:dyDescent="0.35">
      <c r="A27" s="6" t="s">
        <v>24</v>
      </c>
      <c r="B27" s="6" t="s">
        <v>229</v>
      </c>
      <c r="C27" s="6" t="s">
        <v>148</v>
      </c>
      <c r="D27" s="6" t="s">
        <v>30</v>
      </c>
      <c r="E27" s="6" t="s">
        <v>230</v>
      </c>
      <c r="F27" s="6" t="s">
        <v>231</v>
      </c>
      <c r="G27" s="6" t="s">
        <v>759</v>
      </c>
      <c r="H27" s="6"/>
      <c r="I27" s="6"/>
      <c r="J27" s="6"/>
      <c r="K27" s="6"/>
      <c r="L27" s="6"/>
    </row>
    <row r="28" spans="1:12" ht="43.5" x14ac:dyDescent="0.35">
      <c r="A28" s="6" t="s">
        <v>24</v>
      </c>
      <c r="B28" s="6" t="s">
        <v>237</v>
      </c>
      <c r="C28" s="6" t="s">
        <v>148</v>
      </c>
      <c r="D28" s="6" t="s">
        <v>30</v>
      </c>
      <c r="E28" s="6" t="s">
        <v>238</v>
      </c>
      <c r="F28" s="6" t="s">
        <v>239</v>
      </c>
      <c r="G28" s="6" t="s">
        <v>759</v>
      </c>
      <c r="H28" s="6"/>
      <c r="I28" s="6"/>
      <c r="J28" s="6"/>
      <c r="K28" s="6"/>
      <c r="L28" s="6"/>
    </row>
    <row r="29" spans="1:12" ht="43.5" x14ac:dyDescent="0.35">
      <c r="A29" s="6" t="s">
        <v>24</v>
      </c>
      <c r="B29" s="6" t="s">
        <v>244</v>
      </c>
      <c r="C29" s="6" t="s">
        <v>148</v>
      </c>
      <c r="D29" s="6" t="s">
        <v>30</v>
      </c>
      <c r="E29" s="6" t="s">
        <v>245</v>
      </c>
      <c r="F29" s="6" t="s">
        <v>246</v>
      </c>
      <c r="G29" s="6" t="s">
        <v>759</v>
      </c>
      <c r="H29" s="6"/>
      <c r="I29" s="6"/>
      <c r="J29" s="6"/>
      <c r="K29" s="6"/>
      <c r="L29" s="6"/>
    </row>
    <row r="30" spans="1:12" ht="58" x14ac:dyDescent="0.35">
      <c r="A30" s="6" t="s">
        <v>24</v>
      </c>
      <c r="B30" s="6" t="s">
        <v>253</v>
      </c>
      <c r="C30" s="6" t="s">
        <v>148</v>
      </c>
      <c r="D30" s="6" t="s">
        <v>139</v>
      </c>
      <c r="E30" s="6" t="s">
        <v>254</v>
      </c>
      <c r="F30" s="6" t="s">
        <v>255</v>
      </c>
      <c r="G30" s="6" t="s">
        <v>759</v>
      </c>
      <c r="H30" s="6"/>
      <c r="I30" s="6"/>
      <c r="J30" s="6"/>
      <c r="K30" s="6"/>
      <c r="L30" s="6"/>
    </row>
    <row r="31" spans="1:12" ht="58" x14ac:dyDescent="0.35">
      <c r="A31" s="6" t="s">
        <v>24</v>
      </c>
      <c r="B31" s="6" t="s">
        <v>260</v>
      </c>
      <c r="C31" s="6" t="s">
        <v>148</v>
      </c>
      <c r="D31" s="6" t="s">
        <v>139</v>
      </c>
      <c r="E31" s="6" t="s">
        <v>261</v>
      </c>
      <c r="F31" s="6" t="s">
        <v>262</v>
      </c>
      <c r="G31" s="6" t="s">
        <v>759</v>
      </c>
      <c r="H31" s="6"/>
      <c r="I31" s="6"/>
      <c r="J31" s="6"/>
      <c r="K31" s="6"/>
      <c r="L31" s="6"/>
    </row>
    <row r="32" spans="1:12" ht="58" x14ac:dyDescent="0.35">
      <c r="A32" s="6" t="s">
        <v>24</v>
      </c>
      <c r="B32" s="6" t="s">
        <v>266</v>
      </c>
      <c r="C32" s="6" t="s">
        <v>148</v>
      </c>
      <c r="D32" s="6" t="s">
        <v>139</v>
      </c>
      <c r="E32" s="6" t="s">
        <v>267</v>
      </c>
      <c r="F32" s="6" t="s">
        <v>268</v>
      </c>
      <c r="G32" s="6" t="s">
        <v>759</v>
      </c>
      <c r="H32" s="6"/>
      <c r="I32" s="6"/>
      <c r="J32" s="6"/>
      <c r="K32" s="6"/>
      <c r="L32" s="6"/>
    </row>
    <row r="33" spans="1:12" ht="58" x14ac:dyDescent="0.35">
      <c r="A33" s="6" t="s">
        <v>24</v>
      </c>
      <c r="B33" s="6" t="s">
        <v>273</v>
      </c>
      <c r="C33" s="6" t="s">
        <v>148</v>
      </c>
      <c r="D33" s="6" t="s">
        <v>139</v>
      </c>
      <c r="E33" s="6" t="s">
        <v>274</v>
      </c>
      <c r="F33" s="6" t="s">
        <v>275</v>
      </c>
      <c r="G33" s="6" t="s">
        <v>759</v>
      </c>
      <c r="H33" s="6"/>
      <c r="I33" s="6"/>
      <c r="J33" s="6"/>
      <c r="K33" s="6"/>
      <c r="L33" s="6"/>
    </row>
    <row r="34" spans="1:12" ht="58" x14ac:dyDescent="0.35">
      <c r="A34" s="6" t="s">
        <v>24</v>
      </c>
      <c r="B34" s="6" t="s">
        <v>282</v>
      </c>
      <c r="C34" s="6" t="s">
        <v>148</v>
      </c>
      <c r="D34" s="6" t="s">
        <v>280</v>
      </c>
      <c r="E34" s="6" t="s">
        <v>283</v>
      </c>
      <c r="F34" s="6" t="s">
        <v>284</v>
      </c>
      <c r="G34" s="6" t="s">
        <v>759</v>
      </c>
      <c r="H34" s="6"/>
      <c r="I34" s="6"/>
      <c r="J34" s="6"/>
      <c r="K34" s="6"/>
      <c r="L34" s="6"/>
    </row>
    <row r="35" spans="1:12" ht="58" x14ac:dyDescent="0.35">
      <c r="A35" s="6" t="s">
        <v>24</v>
      </c>
      <c r="B35" s="6" t="s">
        <v>289</v>
      </c>
      <c r="C35" s="6" t="s">
        <v>148</v>
      </c>
      <c r="D35" s="6" t="s">
        <v>280</v>
      </c>
      <c r="E35" s="6" t="s">
        <v>290</v>
      </c>
      <c r="F35" s="6" t="s">
        <v>284</v>
      </c>
      <c r="G35" s="6" t="s">
        <v>759</v>
      </c>
      <c r="H35" s="6"/>
      <c r="I35" s="6"/>
      <c r="J35" s="6"/>
      <c r="K35" s="6"/>
      <c r="L35" s="6"/>
    </row>
    <row r="36" spans="1:12" ht="58" x14ac:dyDescent="0.35">
      <c r="A36" s="6" t="s">
        <v>24</v>
      </c>
      <c r="B36" s="6" t="s">
        <v>294</v>
      </c>
      <c r="C36" s="6" t="s">
        <v>148</v>
      </c>
      <c r="D36" s="6" t="s">
        <v>280</v>
      </c>
      <c r="E36" s="6" t="s">
        <v>295</v>
      </c>
      <c r="F36" s="6" t="s">
        <v>296</v>
      </c>
      <c r="G36" s="6" t="s">
        <v>759</v>
      </c>
      <c r="H36" s="6"/>
      <c r="I36" s="6"/>
      <c r="J36" s="6"/>
      <c r="K36" s="6"/>
      <c r="L36" s="6"/>
    </row>
    <row r="37" spans="1:12" ht="58" x14ac:dyDescent="0.35">
      <c r="A37" s="6" t="s">
        <v>302</v>
      </c>
      <c r="B37" s="6" t="s">
        <v>307</v>
      </c>
      <c r="C37" s="6"/>
      <c r="D37" s="6" t="s">
        <v>305</v>
      </c>
      <c r="E37" s="6" t="s">
        <v>308</v>
      </c>
      <c r="F37" s="6" t="s">
        <v>309</v>
      </c>
      <c r="G37" s="6" t="s">
        <v>760</v>
      </c>
      <c r="H37" s="6" t="s">
        <v>317</v>
      </c>
      <c r="I37" s="6">
        <v>2</v>
      </c>
      <c r="J37" s="6" t="s">
        <v>45</v>
      </c>
      <c r="K37" s="6"/>
      <c r="L37" s="6" t="s">
        <v>46</v>
      </c>
    </row>
    <row r="38" spans="1:12" ht="43.5" x14ac:dyDescent="0.35">
      <c r="A38" s="6" t="s">
        <v>302</v>
      </c>
      <c r="B38" s="6" t="s">
        <v>320</v>
      </c>
      <c r="C38" s="6"/>
      <c r="D38" s="6" t="s">
        <v>305</v>
      </c>
      <c r="E38" s="6" t="s">
        <v>321</v>
      </c>
      <c r="F38" s="6" t="s">
        <v>322</v>
      </c>
      <c r="G38" s="6" t="s">
        <v>760</v>
      </c>
      <c r="H38" s="6" t="s">
        <v>328</v>
      </c>
      <c r="I38" s="6">
        <v>3</v>
      </c>
      <c r="J38" s="6" t="s">
        <v>45</v>
      </c>
      <c r="K38" s="6" t="s">
        <v>330</v>
      </c>
      <c r="L38" s="6" t="s">
        <v>46</v>
      </c>
    </row>
    <row r="39" spans="1:12" ht="29" x14ac:dyDescent="0.35">
      <c r="A39" s="6" t="s">
        <v>302</v>
      </c>
      <c r="B39" s="6" t="s">
        <v>331</v>
      </c>
      <c r="C39" s="6"/>
      <c r="D39" s="6" t="s">
        <v>305</v>
      </c>
      <c r="E39" s="6" t="s">
        <v>332</v>
      </c>
      <c r="F39" s="6" t="s">
        <v>333</v>
      </c>
      <c r="G39" s="6" t="s">
        <v>760</v>
      </c>
      <c r="H39" s="6" t="s">
        <v>338</v>
      </c>
      <c r="I39" s="6">
        <v>4</v>
      </c>
      <c r="J39" s="6" t="s">
        <v>45</v>
      </c>
      <c r="K39" s="6" t="s">
        <v>340</v>
      </c>
      <c r="L39" s="6" t="s">
        <v>46</v>
      </c>
    </row>
    <row r="40" spans="1:12" ht="29" x14ac:dyDescent="0.35">
      <c r="A40" s="6" t="s">
        <v>302</v>
      </c>
      <c r="B40" s="6" t="s">
        <v>341</v>
      </c>
      <c r="C40" s="6"/>
      <c r="D40" s="6" t="s">
        <v>305</v>
      </c>
      <c r="E40" s="6" t="s">
        <v>342</v>
      </c>
      <c r="F40" s="6" t="s">
        <v>343</v>
      </c>
      <c r="G40" s="6" t="s">
        <v>760</v>
      </c>
      <c r="H40" s="6" t="s">
        <v>349</v>
      </c>
      <c r="I40" s="6">
        <v>5</v>
      </c>
      <c r="J40" s="6" t="s">
        <v>45</v>
      </c>
      <c r="K40" s="6" t="s">
        <v>340</v>
      </c>
      <c r="L40" s="6" t="s">
        <v>46</v>
      </c>
    </row>
    <row r="41" spans="1:12" ht="29" x14ac:dyDescent="0.35">
      <c r="A41" s="6" t="s">
        <v>302</v>
      </c>
      <c r="B41" s="6" t="s">
        <v>351</v>
      </c>
      <c r="C41" s="6"/>
      <c r="D41" s="6" t="s">
        <v>305</v>
      </c>
      <c r="E41" s="6" t="s">
        <v>352</v>
      </c>
      <c r="F41" s="6" t="s">
        <v>353</v>
      </c>
      <c r="G41" s="6" t="s">
        <v>760</v>
      </c>
      <c r="H41" s="6" t="s">
        <v>359</v>
      </c>
      <c r="I41" s="6">
        <v>6</v>
      </c>
      <c r="J41" s="6" t="s">
        <v>45</v>
      </c>
      <c r="K41" s="6" t="s">
        <v>340</v>
      </c>
      <c r="L41" s="6" t="s">
        <v>46</v>
      </c>
    </row>
    <row r="42" spans="1:12" ht="29" x14ac:dyDescent="0.35">
      <c r="A42" s="6" t="s">
        <v>302</v>
      </c>
      <c r="B42" s="6" t="s">
        <v>361</v>
      </c>
      <c r="C42" s="6"/>
      <c r="D42" s="6" t="s">
        <v>305</v>
      </c>
      <c r="E42" s="6" t="s">
        <v>362</v>
      </c>
      <c r="F42" s="6" t="s">
        <v>363</v>
      </c>
      <c r="G42" s="6" t="s">
        <v>760</v>
      </c>
      <c r="H42" s="6" t="s">
        <v>368</v>
      </c>
      <c r="I42" s="6">
        <v>8</v>
      </c>
      <c r="J42" s="6" t="s">
        <v>45</v>
      </c>
      <c r="K42" s="6"/>
      <c r="L42" s="6" t="s">
        <v>46</v>
      </c>
    </row>
    <row r="43" spans="1:12" ht="43.5" x14ac:dyDescent="0.35">
      <c r="A43" s="6" t="s">
        <v>302</v>
      </c>
      <c r="B43" s="6" t="s">
        <v>373</v>
      </c>
      <c r="C43" s="6"/>
      <c r="D43" s="6" t="s">
        <v>371</v>
      </c>
      <c r="E43" s="6" t="s">
        <v>374</v>
      </c>
      <c r="F43" s="6" t="s">
        <v>375</v>
      </c>
      <c r="G43" s="6" t="s">
        <v>760</v>
      </c>
      <c r="H43" s="6" t="s">
        <v>382</v>
      </c>
      <c r="I43" s="6">
        <v>9</v>
      </c>
      <c r="J43" s="6" t="s">
        <v>45</v>
      </c>
      <c r="K43" s="6"/>
      <c r="L43" s="6" t="s">
        <v>46</v>
      </c>
    </row>
    <row r="44" spans="1:12" ht="29" x14ac:dyDescent="0.35">
      <c r="A44" s="6" t="s">
        <v>302</v>
      </c>
      <c r="B44" s="6" t="s">
        <v>384</v>
      </c>
      <c r="C44" s="6"/>
      <c r="D44" s="6" t="s">
        <v>371</v>
      </c>
      <c r="E44" s="6" t="s">
        <v>385</v>
      </c>
      <c r="F44" s="6" t="s">
        <v>386</v>
      </c>
      <c r="G44" s="6" t="s">
        <v>760</v>
      </c>
      <c r="H44" s="6" t="s">
        <v>391</v>
      </c>
      <c r="I44" s="6">
        <v>10</v>
      </c>
      <c r="J44" s="6" t="s">
        <v>45</v>
      </c>
      <c r="K44" s="6"/>
      <c r="L44" s="6" t="s">
        <v>46</v>
      </c>
    </row>
    <row r="45" spans="1:12" ht="29" x14ac:dyDescent="0.35">
      <c r="A45" s="6" t="s">
        <v>302</v>
      </c>
      <c r="B45" s="6" t="s">
        <v>393</v>
      </c>
      <c r="C45" s="6"/>
      <c r="D45" s="6" t="s">
        <v>371</v>
      </c>
      <c r="E45" s="6" t="s">
        <v>394</v>
      </c>
      <c r="F45" s="6" t="s">
        <v>395</v>
      </c>
      <c r="G45" s="6" t="s">
        <v>760</v>
      </c>
      <c r="H45" s="6" t="s">
        <v>401</v>
      </c>
      <c r="I45" s="6">
        <v>11</v>
      </c>
      <c r="J45" s="6" t="s">
        <v>45</v>
      </c>
      <c r="K45" s="6"/>
      <c r="L45" s="6" t="s">
        <v>46</v>
      </c>
    </row>
    <row r="46" spans="1:12" ht="29" x14ac:dyDescent="0.35">
      <c r="A46" s="6" t="s">
        <v>302</v>
      </c>
      <c r="B46" s="6" t="s">
        <v>403</v>
      </c>
      <c r="C46" s="6"/>
      <c r="D46" s="6" t="s">
        <v>371</v>
      </c>
      <c r="E46" s="6" t="s">
        <v>404</v>
      </c>
      <c r="F46" s="6" t="s">
        <v>405</v>
      </c>
      <c r="G46" s="6" t="s">
        <v>760</v>
      </c>
      <c r="H46" s="6" t="s">
        <v>412</v>
      </c>
      <c r="I46" s="6">
        <v>13</v>
      </c>
      <c r="J46" s="6" t="s">
        <v>45</v>
      </c>
      <c r="K46" s="6"/>
      <c r="L46" s="6" t="s">
        <v>46</v>
      </c>
    </row>
    <row r="47" spans="1:12" ht="58" x14ac:dyDescent="0.35">
      <c r="A47" s="6" t="s">
        <v>302</v>
      </c>
      <c r="B47" s="6" t="s">
        <v>414</v>
      </c>
      <c r="C47" s="6"/>
      <c r="D47" s="6" t="s">
        <v>371</v>
      </c>
      <c r="E47" s="6" t="s">
        <v>415</v>
      </c>
      <c r="F47" s="6" t="s">
        <v>416</v>
      </c>
      <c r="G47" s="6" t="s">
        <v>760</v>
      </c>
      <c r="H47" s="6" t="s">
        <v>418</v>
      </c>
      <c r="I47" s="6">
        <v>14</v>
      </c>
      <c r="J47" s="6" t="s">
        <v>45</v>
      </c>
      <c r="K47" s="6"/>
      <c r="L47" s="6" t="s">
        <v>46</v>
      </c>
    </row>
    <row r="48" spans="1:12" ht="58" x14ac:dyDescent="0.35">
      <c r="A48" s="6" t="s">
        <v>302</v>
      </c>
      <c r="B48" s="6" t="s">
        <v>420</v>
      </c>
      <c r="C48" s="6"/>
      <c r="D48" s="6" t="s">
        <v>371</v>
      </c>
      <c r="E48" s="6" t="s">
        <v>421</v>
      </c>
      <c r="F48" s="6" t="s">
        <v>422</v>
      </c>
      <c r="G48" s="6" t="s">
        <v>760</v>
      </c>
      <c r="H48" s="6" t="s">
        <v>424</v>
      </c>
      <c r="I48" s="6">
        <v>15</v>
      </c>
      <c r="J48" s="6" t="s">
        <v>45</v>
      </c>
      <c r="K48" s="6"/>
      <c r="L48" s="6" t="s">
        <v>46</v>
      </c>
    </row>
    <row r="49" spans="1:12" ht="58" x14ac:dyDescent="0.35">
      <c r="A49" s="6" t="s">
        <v>302</v>
      </c>
      <c r="B49" s="6" t="s">
        <v>428</v>
      </c>
      <c r="C49" s="6"/>
      <c r="D49" s="6" t="s">
        <v>371</v>
      </c>
      <c r="E49" s="6" t="s">
        <v>429</v>
      </c>
      <c r="F49" s="6" t="s">
        <v>430</v>
      </c>
      <c r="G49" s="6" t="s">
        <v>760</v>
      </c>
      <c r="H49" s="6" t="s">
        <v>432</v>
      </c>
      <c r="I49" s="6">
        <v>16</v>
      </c>
      <c r="J49" s="6" t="s">
        <v>45</v>
      </c>
      <c r="K49" s="6"/>
      <c r="L49" s="6" t="s">
        <v>46</v>
      </c>
    </row>
    <row r="50" spans="1:12" ht="58" x14ac:dyDescent="0.35">
      <c r="A50" s="6" t="s">
        <v>302</v>
      </c>
      <c r="B50" s="6" t="s">
        <v>435</v>
      </c>
      <c r="C50" s="6"/>
      <c r="D50" s="6" t="s">
        <v>371</v>
      </c>
      <c r="E50" s="6" t="s">
        <v>436</v>
      </c>
      <c r="F50" s="6" t="s">
        <v>437</v>
      </c>
      <c r="G50" s="6" t="s">
        <v>760</v>
      </c>
      <c r="H50" s="6" t="s">
        <v>439</v>
      </c>
      <c r="I50" s="6">
        <v>17</v>
      </c>
      <c r="J50" s="6" t="s">
        <v>45</v>
      </c>
      <c r="K50" s="6"/>
      <c r="L50" s="6" t="s">
        <v>46</v>
      </c>
    </row>
    <row r="51" spans="1:12" ht="58" x14ac:dyDescent="0.35">
      <c r="A51" s="6" t="s">
        <v>302</v>
      </c>
      <c r="B51" s="6" t="s">
        <v>442</v>
      </c>
      <c r="C51" s="6"/>
      <c r="D51" s="6" t="s">
        <v>371</v>
      </c>
      <c r="E51" s="6" t="s">
        <v>443</v>
      </c>
      <c r="F51" s="6" t="s">
        <v>444</v>
      </c>
      <c r="G51" s="6" t="s">
        <v>760</v>
      </c>
      <c r="H51" s="6" t="s">
        <v>446</v>
      </c>
      <c r="I51" s="6">
        <v>18</v>
      </c>
      <c r="J51" s="6" t="s">
        <v>45</v>
      </c>
      <c r="K51" s="6"/>
      <c r="L51" s="6" t="s">
        <v>46</v>
      </c>
    </row>
    <row r="52" spans="1:12" ht="29" x14ac:dyDescent="0.35">
      <c r="A52" s="6" t="s">
        <v>302</v>
      </c>
      <c r="B52" s="6" t="s">
        <v>449</v>
      </c>
      <c r="C52" s="6"/>
      <c r="D52" s="6" t="s">
        <v>371</v>
      </c>
      <c r="E52" s="6" t="s">
        <v>450</v>
      </c>
      <c r="F52" s="6" t="s">
        <v>451</v>
      </c>
      <c r="G52" s="6" t="s">
        <v>760</v>
      </c>
      <c r="H52" s="6" t="s">
        <v>457</v>
      </c>
      <c r="I52" s="6">
        <v>19</v>
      </c>
      <c r="J52" s="6" t="s">
        <v>45</v>
      </c>
      <c r="K52" s="6"/>
      <c r="L52" s="6" t="s">
        <v>46</v>
      </c>
    </row>
    <row r="53" spans="1:12" ht="29" x14ac:dyDescent="0.35">
      <c r="A53" s="6" t="s">
        <v>302</v>
      </c>
      <c r="B53" s="6" t="s">
        <v>459</v>
      </c>
      <c r="C53" s="6"/>
      <c r="D53" s="6" t="s">
        <v>371</v>
      </c>
      <c r="E53" s="6" t="s">
        <v>460</v>
      </c>
      <c r="F53" s="6" t="s">
        <v>461</v>
      </c>
      <c r="G53" s="6" t="s">
        <v>760</v>
      </c>
      <c r="H53" s="6" t="s">
        <v>465</v>
      </c>
      <c r="I53" s="6">
        <v>20</v>
      </c>
      <c r="J53" s="6" t="s">
        <v>45</v>
      </c>
      <c r="K53" s="6"/>
      <c r="L53" s="6" t="s">
        <v>46</v>
      </c>
    </row>
    <row r="54" spans="1:12" ht="43.5" x14ac:dyDescent="0.35">
      <c r="A54" s="6" t="s">
        <v>302</v>
      </c>
      <c r="B54" s="6" t="s">
        <v>467</v>
      </c>
      <c r="C54" s="6"/>
      <c r="D54" s="6" t="s">
        <v>371</v>
      </c>
      <c r="E54" s="6" t="s">
        <v>468</v>
      </c>
      <c r="F54" s="6" t="s">
        <v>469</v>
      </c>
      <c r="G54" s="6" t="s">
        <v>760</v>
      </c>
      <c r="H54" s="6" t="s">
        <v>471</v>
      </c>
      <c r="I54" s="6">
        <v>21</v>
      </c>
      <c r="J54" s="6" t="s">
        <v>45</v>
      </c>
      <c r="K54" s="6"/>
      <c r="L54" s="6" t="s">
        <v>46</v>
      </c>
    </row>
    <row r="55" spans="1:12" ht="43.5" x14ac:dyDescent="0.35">
      <c r="A55" s="6" t="s">
        <v>302</v>
      </c>
      <c r="B55" s="6" t="s">
        <v>474</v>
      </c>
      <c r="C55" s="6"/>
      <c r="D55" s="6" t="s">
        <v>371</v>
      </c>
      <c r="E55" s="6" t="s">
        <v>475</v>
      </c>
      <c r="F55" s="6" t="s">
        <v>476</v>
      </c>
      <c r="G55" s="6" t="s">
        <v>760</v>
      </c>
      <c r="H55" s="6" t="s">
        <v>478</v>
      </c>
      <c r="I55" s="6">
        <v>22</v>
      </c>
      <c r="J55" s="6" t="s">
        <v>45</v>
      </c>
      <c r="K55" s="6"/>
      <c r="L55" s="6" t="s">
        <v>46</v>
      </c>
    </row>
    <row r="56" spans="1:12" ht="29" x14ac:dyDescent="0.35">
      <c r="A56" s="6" t="s">
        <v>302</v>
      </c>
      <c r="B56" s="6" t="s">
        <v>484</v>
      </c>
      <c r="C56" s="6"/>
      <c r="D56" s="6" t="s">
        <v>482</v>
      </c>
      <c r="E56" s="6" t="s">
        <v>485</v>
      </c>
      <c r="F56" s="6" t="s">
        <v>486</v>
      </c>
      <c r="G56" s="6" t="s">
        <v>760</v>
      </c>
      <c r="H56" s="6" t="s">
        <v>491</v>
      </c>
      <c r="I56" s="6">
        <v>23</v>
      </c>
      <c r="J56" s="6" t="s">
        <v>60</v>
      </c>
      <c r="K56" s="6"/>
      <c r="L56" s="6" t="s">
        <v>46</v>
      </c>
    </row>
    <row r="57" spans="1:12" ht="43.5" x14ac:dyDescent="0.35">
      <c r="A57" s="6" t="s">
        <v>302</v>
      </c>
      <c r="B57" s="6" t="s">
        <v>493</v>
      </c>
      <c r="C57" s="6"/>
      <c r="D57" s="6" t="s">
        <v>482</v>
      </c>
      <c r="E57" s="6" t="s">
        <v>494</v>
      </c>
      <c r="F57" s="6" t="s">
        <v>495</v>
      </c>
      <c r="G57" s="6" t="s">
        <v>760</v>
      </c>
      <c r="H57" s="6" t="s">
        <v>497</v>
      </c>
      <c r="I57" s="6">
        <v>24</v>
      </c>
      <c r="J57" s="6" t="s">
        <v>45</v>
      </c>
      <c r="K57" s="6"/>
      <c r="L57" s="6" t="s">
        <v>46</v>
      </c>
    </row>
    <row r="58" spans="1:12" ht="43.5" x14ac:dyDescent="0.35">
      <c r="A58" s="6" t="s">
        <v>302</v>
      </c>
      <c r="B58" s="6" t="s">
        <v>500</v>
      </c>
      <c r="C58" s="6"/>
      <c r="D58" s="6" t="s">
        <v>482</v>
      </c>
      <c r="E58" s="6" t="s">
        <v>501</v>
      </c>
      <c r="F58" s="6" t="s">
        <v>502</v>
      </c>
      <c r="G58" s="6" t="s">
        <v>760</v>
      </c>
      <c r="H58" s="6" t="s">
        <v>504</v>
      </c>
      <c r="I58" s="6">
        <v>25</v>
      </c>
      <c r="J58" s="6" t="s">
        <v>45</v>
      </c>
      <c r="K58" s="6"/>
      <c r="L58" s="6" t="s">
        <v>46</v>
      </c>
    </row>
    <row r="59" spans="1:12" ht="29" x14ac:dyDescent="0.35">
      <c r="A59" s="6" t="s">
        <v>302</v>
      </c>
      <c r="B59" s="6" t="s">
        <v>508</v>
      </c>
      <c r="C59" s="6"/>
      <c r="D59" s="6" t="s">
        <v>482</v>
      </c>
      <c r="E59" s="6" t="s">
        <v>509</v>
      </c>
      <c r="F59" s="6" t="s">
        <v>510</v>
      </c>
      <c r="G59" s="6" t="s">
        <v>760</v>
      </c>
      <c r="H59" s="6" t="s">
        <v>515</v>
      </c>
      <c r="I59" s="6">
        <v>26</v>
      </c>
      <c r="J59" s="6" t="s">
        <v>45</v>
      </c>
      <c r="K59" s="6"/>
      <c r="L59" s="6" t="s">
        <v>46</v>
      </c>
    </row>
    <row r="60" spans="1:12" ht="58" x14ac:dyDescent="0.35">
      <c r="A60" s="6" t="s">
        <v>302</v>
      </c>
      <c r="B60" s="6" t="s">
        <v>517</v>
      </c>
      <c r="C60" s="6"/>
      <c r="D60" s="6" t="s">
        <v>482</v>
      </c>
      <c r="E60" s="6" t="s">
        <v>518</v>
      </c>
      <c r="F60" s="6" t="s">
        <v>519</v>
      </c>
      <c r="G60" s="6" t="s">
        <v>760</v>
      </c>
      <c r="H60" s="6" t="s">
        <v>521</v>
      </c>
      <c r="I60" s="6">
        <v>27</v>
      </c>
      <c r="J60" s="6" t="s">
        <v>45</v>
      </c>
      <c r="K60" s="6"/>
      <c r="L60" s="6" t="s">
        <v>46</v>
      </c>
    </row>
    <row r="61" spans="1:12" ht="43.5" x14ac:dyDescent="0.35">
      <c r="A61" s="6" t="s">
        <v>302</v>
      </c>
      <c r="B61" s="6" t="s">
        <v>523</v>
      </c>
      <c r="C61" s="6"/>
      <c r="D61" s="6" t="s">
        <v>482</v>
      </c>
      <c r="E61" s="6" t="s">
        <v>524</v>
      </c>
      <c r="F61" s="6" t="s">
        <v>525</v>
      </c>
      <c r="G61" s="6" t="s">
        <v>760</v>
      </c>
      <c r="H61" s="6" t="s">
        <v>527</v>
      </c>
      <c r="I61" s="6">
        <v>28</v>
      </c>
      <c r="J61" s="6" t="s">
        <v>45</v>
      </c>
      <c r="K61" s="6"/>
      <c r="L61" s="6" t="s">
        <v>46</v>
      </c>
    </row>
    <row r="62" spans="1:12" ht="29" x14ac:dyDescent="0.35">
      <c r="A62" s="6" t="s">
        <v>302</v>
      </c>
      <c r="B62" s="6" t="s">
        <v>532</v>
      </c>
      <c r="C62" s="6"/>
      <c r="D62" s="6" t="s">
        <v>530</v>
      </c>
      <c r="E62" s="6" t="s">
        <v>533</v>
      </c>
      <c r="F62" s="6" t="s">
        <v>534</v>
      </c>
      <c r="G62" s="6" t="s">
        <v>760</v>
      </c>
      <c r="H62" s="6" t="s">
        <v>539</v>
      </c>
      <c r="I62" s="6">
        <v>29</v>
      </c>
      <c r="J62" s="6" t="s">
        <v>45</v>
      </c>
      <c r="K62" s="6"/>
      <c r="L62" s="6" t="s">
        <v>46</v>
      </c>
    </row>
    <row r="63" spans="1:12" ht="29" x14ac:dyDescent="0.35">
      <c r="A63" s="6" t="s">
        <v>302</v>
      </c>
      <c r="B63" s="6" t="s">
        <v>541</v>
      </c>
      <c r="C63" s="6"/>
      <c r="D63" s="6" t="s">
        <v>530</v>
      </c>
      <c r="E63" s="6" t="s">
        <v>542</v>
      </c>
      <c r="F63" s="6" t="s">
        <v>543</v>
      </c>
      <c r="G63" s="6" t="s">
        <v>760</v>
      </c>
      <c r="H63" s="6" t="s">
        <v>547</v>
      </c>
      <c r="I63" s="6">
        <v>30</v>
      </c>
      <c r="J63" s="6" t="s">
        <v>45</v>
      </c>
      <c r="K63" s="6"/>
      <c r="L63" s="6" t="s">
        <v>46</v>
      </c>
    </row>
    <row r="64" spans="1:12" ht="58" x14ac:dyDescent="0.35">
      <c r="A64" s="6" t="s">
        <v>302</v>
      </c>
      <c r="B64" s="6" t="s">
        <v>549</v>
      </c>
      <c r="C64" s="6"/>
      <c r="D64" s="6" t="s">
        <v>530</v>
      </c>
      <c r="E64" s="6" t="s">
        <v>550</v>
      </c>
      <c r="F64" s="6" t="s">
        <v>551</v>
      </c>
      <c r="G64" s="6" t="s">
        <v>760</v>
      </c>
      <c r="H64" s="6" t="s">
        <v>553</v>
      </c>
      <c r="I64" s="6">
        <v>31</v>
      </c>
      <c r="J64" s="6" t="s">
        <v>45</v>
      </c>
      <c r="K64" s="6"/>
      <c r="L64" s="6" t="s">
        <v>46</v>
      </c>
    </row>
    <row r="65" spans="1:12" ht="43.5" x14ac:dyDescent="0.35">
      <c r="A65" s="6" t="s">
        <v>302</v>
      </c>
      <c r="B65" s="6" t="s">
        <v>555</v>
      </c>
      <c r="C65" s="6"/>
      <c r="D65" s="6" t="s">
        <v>530</v>
      </c>
      <c r="E65" s="6" t="s">
        <v>556</v>
      </c>
      <c r="F65" s="6" t="s">
        <v>557</v>
      </c>
      <c r="G65" s="6" t="s">
        <v>760</v>
      </c>
      <c r="H65" s="6" t="s">
        <v>559</v>
      </c>
      <c r="I65" s="6">
        <v>32</v>
      </c>
      <c r="J65" s="6" t="s">
        <v>45</v>
      </c>
      <c r="K65" s="6"/>
      <c r="L65" s="6" t="s">
        <v>46</v>
      </c>
    </row>
    <row r="66" spans="1:12" ht="29" x14ac:dyDescent="0.35">
      <c r="A66" s="6" t="s">
        <v>302</v>
      </c>
      <c r="B66" s="6" t="s">
        <v>563</v>
      </c>
      <c r="C66" s="6"/>
      <c r="D66" s="6" t="s">
        <v>30</v>
      </c>
      <c r="E66" s="6" t="s">
        <v>564</v>
      </c>
      <c r="F66" s="6" t="s">
        <v>565</v>
      </c>
      <c r="G66" s="6" t="s">
        <v>760</v>
      </c>
      <c r="H66" s="6" t="s">
        <v>572</v>
      </c>
      <c r="I66" s="6">
        <v>33</v>
      </c>
      <c r="J66" s="6" t="s">
        <v>60</v>
      </c>
      <c r="K66" s="6"/>
      <c r="L66" s="6" t="s">
        <v>46</v>
      </c>
    </row>
    <row r="67" spans="1:12" ht="43.5" x14ac:dyDescent="0.35">
      <c r="A67" s="6" t="s">
        <v>302</v>
      </c>
      <c r="B67" s="6" t="s">
        <v>574</v>
      </c>
      <c r="C67" s="6"/>
      <c r="D67" s="6" t="s">
        <v>30</v>
      </c>
      <c r="E67" s="6" t="s">
        <v>575</v>
      </c>
      <c r="F67" s="6" t="s">
        <v>576</v>
      </c>
      <c r="G67" s="6" t="s">
        <v>760</v>
      </c>
      <c r="H67" s="6" t="s">
        <v>578</v>
      </c>
      <c r="I67" s="6">
        <v>34</v>
      </c>
      <c r="J67" s="6" t="s">
        <v>45</v>
      </c>
      <c r="K67" s="6"/>
      <c r="L67" s="6" t="s">
        <v>46</v>
      </c>
    </row>
    <row r="68" spans="1:12" ht="58" x14ac:dyDescent="0.35">
      <c r="A68" s="6" t="s">
        <v>302</v>
      </c>
      <c r="B68" s="6" t="s">
        <v>581</v>
      </c>
      <c r="C68" s="6"/>
      <c r="D68" s="6" t="s">
        <v>30</v>
      </c>
      <c r="E68" s="6" t="s">
        <v>582</v>
      </c>
      <c r="F68" s="6" t="s">
        <v>583</v>
      </c>
      <c r="G68" s="6" t="s">
        <v>760</v>
      </c>
      <c r="H68" s="6" t="s">
        <v>585</v>
      </c>
      <c r="I68" s="6">
        <v>35</v>
      </c>
      <c r="J68" s="6" t="s">
        <v>45</v>
      </c>
      <c r="K68" s="6"/>
      <c r="L68" s="6" t="s">
        <v>46</v>
      </c>
    </row>
    <row r="69" spans="1:12" ht="43.5" x14ac:dyDescent="0.35">
      <c r="A69" s="6" t="s">
        <v>302</v>
      </c>
      <c r="B69" s="6" t="s">
        <v>589</v>
      </c>
      <c r="C69" s="6"/>
      <c r="D69" s="6" t="s">
        <v>30</v>
      </c>
      <c r="E69" s="6" t="s">
        <v>590</v>
      </c>
      <c r="F69" s="6" t="s">
        <v>591</v>
      </c>
      <c r="G69" s="6" t="s">
        <v>760</v>
      </c>
      <c r="H69" s="6" t="s">
        <v>593</v>
      </c>
      <c r="I69" s="6">
        <v>36</v>
      </c>
      <c r="J69" s="6" t="s">
        <v>45</v>
      </c>
      <c r="K69" s="6"/>
      <c r="L69" s="6" t="s">
        <v>46</v>
      </c>
    </row>
    <row r="70" spans="1:12" ht="29" x14ac:dyDescent="0.35">
      <c r="A70" s="6" t="s">
        <v>302</v>
      </c>
      <c r="B70" s="6" t="s">
        <v>599</v>
      </c>
      <c r="C70" s="6"/>
      <c r="D70" s="6" t="s">
        <v>597</v>
      </c>
      <c r="E70" s="6" t="s">
        <v>600</v>
      </c>
      <c r="F70" s="6" t="s">
        <v>601</v>
      </c>
      <c r="G70" s="6" t="s">
        <v>760</v>
      </c>
      <c r="H70" s="6" t="s">
        <v>606</v>
      </c>
      <c r="I70" s="6">
        <v>39</v>
      </c>
      <c r="J70" s="6" t="s">
        <v>45</v>
      </c>
      <c r="K70" s="6"/>
      <c r="L70" s="6" t="s">
        <v>46</v>
      </c>
    </row>
    <row r="71" spans="1:12" ht="29" x14ac:dyDescent="0.35">
      <c r="A71" s="6" t="s">
        <v>302</v>
      </c>
      <c r="B71" s="6" t="s">
        <v>608</v>
      </c>
      <c r="C71" s="6"/>
      <c r="D71" s="6" t="s">
        <v>597</v>
      </c>
      <c r="E71" s="6" t="s">
        <v>609</v>
      </c>
      <c r="F71" s="6" t="s">
        <v>610</v>
      </c>
      <c r="G71" s="6" t="s">
        <v>760</v>
      </c>
      <c r="H71" s="6" t="s">
        <v>615</v>
      </c>
      <c r="I71" s="6">
        <v>40</v>
      </c>
      <c r="J71" s="6" t="s">
        <v>45</v>
      </c>
      <c r="K71" s="6"/>
      <c r="L71" s="6" t="s">
        <v>46</v>
      </c>
    </row>
    <row r="72" spans="1:12" ht="58" x14ac:dyDescent="0.35">
      <c r="A72" s="6" t="s">
        <v>302</v>
      </c>
      <c r="B72" s="6" t="s">
        <v>617</v>
      </c>
      <c r="C72" s="6"/>
      <c r="D72" s="6" t="s">
        <v>597</v>
      </c>
      <c r="E72" s="6" t="s">
        <v>618</v>
      </c>
      <c r="F72" s="6" t="s">
        <v>619</v>
      </c>
      <c r="G72" s="6" t="s">
        <v>760</v>
      </c>
      <c r="H72" s="6" t="s">
        <v>621</v>
      </c>
      <c r="I72" s="6">
        <v>41</v>
      </c>
      <c r="J72" s="6" t="s">
        <v>45</v>
      </c>
      <c r="K72" s="6"/>
      <c r="L72" s="6" t="s">
        <v>46</v>
      </c>
    </row>
    <row r="73" spans="1:12" ht="43.5" x14ac:dyDescent="0.35">
      <c r="A73" s="6" t="s">
        <v>302</v>
      </c>
      <c r="B73" s="6" t="s">
        <v>623</v>
      </c>
      <c r="C73" s="6"/>
      <c r="D73" s="6" t="s">
        <v>597</v>
      </c>
      <c r="E73" s="6" t="s">
        <v>624</v>
      </c>
      <c r="F73" s="6" t="s">
        <v>625</v>
      </c>
      <c r="G73" s="6" t="s">
        <v>760</v>
      </c>
      <c r="H73" s="6" t="s">
        <v>627</v>
      </c>
      <c r="I73" s="6">
        <v>42</v>
      </c>
      <c r="J73" s="6" t="s">
        <v>45</v>
      </c>
      <c r="K73" s="6"/>
      <c r="L73" s="6" t="s">
        <v>46</v>
      </c>
    </row>
    <row r="74" spans="1:12" ht="29" x14ac:dyDescent="0.35">
      <c r="A74" s="6" t="s">
        <v>302</v>
      </c>
      <c r="B74" s="6" t="s">
        <v>630</v>
      </c>
      <c r="C74" s="6"/>
      <c r="D74" s="6" t="s">
        <v>597</v>
      </c>
      <c r="E74" s="6" t="s">
        <v>631</v>
      </c>
      <c r="F74" s="6" t="s">
        <v>632</v>
      </c>
      <c r="G74" s="6" t="s">
        <v>760</v>
      </c>
      <c r="H74" s="6" t="s">
        <v>637</v>
      </c>
      <c r="I74" s="6">
        <v>44</v>
      </c>
      <c r="J74" s="6" t="s">
        <v>45</v>
      </c>
      <c r="K74" s="6"/>
      <c r="L74" s="6" t="s">
        <v>46</v>
      </c>
    </row>
    <row r="75" spans="1:12" ht="58" x14ac:dyDescent="0.35">
      <c r="A75" s="6" t="s">
        <v>302</v>
      </c>
      <c r="B75" s="6" t="s">
        <v>641</v>
      </c>
      <c r="C75" s="6"/>
      <c r="D75" s="6" t="s">
        <v>148</v>
      </c>
      <c r="E75" s="6" t="s">
        <v>642</v>
      </c>
      <c r="F75" s="6" t="s">
        <v>643</v>
      </c>
      <c r="G75" s="6" t="s">
        <v>760</v>
      </c>
      <c r="H75" s="6" t="s">
        <v>645</v>
      </c>
      <c r="I75" s="6">
        <v>51</v>
      </c>
      <c r="J75" s="6" t="s">
        <v>45</v>
      </c>
      <c r="K75" s="6"/>
      <c r="L75" s="6" t="s">
        <v>46</v>
      </c>
    </row>
    <row r="76" spans="1:12" ht="58" x14ac:dyDescent="0.35">
      <c r="A76" s="6" t="s">
        <v>649</v>
      </c>
      <c r="B76" s="6" t="s">
        <v>654</v>
      </c>
      <c r="C76" s="6"/>
      <c r="D76" s="6" t="s">
        <v>652</v>
      </c>
      <c r="E76" s="6" t="s">
        <v>655</v>
      </c>
      <c r="F76" s="6" t="s">
        <v>656</v>
      </c>
      <c r="G76" s="6" t="s">
        <v>761</v>
      </c>
      <c r="H76" s="6" t="s">
        <v>658</v>
      </c>
      <c r="I76" s="6">
        <v>7</v>
      </c>
      <c r="J76" s="6" t="s">
        <v>45</v>
      </c>
      <c r="K76" s="6" t="s">
        <v>340</v>
      </c>
      <c r="L76" s="6" t="s">
        <v>46</v>
      </c>
    </row>
    <row r="77" spans="1:12" ht="29" x14ac:dyDescent="0.35">
      <c r="A77" s="6" t="s">
        <v>649</v>
      </c>
      <c r="B77" s="6" t="s">
        <v>661</v>
      </c>
      <c r="C77" s="6"/>
      <c r="D77" s="6" t="s">
        <v>652</v>
      </c>
      <c r="E77" s="6" t="s">
        <v>662</v>
      </c>
      <c r="F77" s="6" t="s">
        <v>663</v>
      </c>
      <c r="G77" s="6" t="s">
        <v>761</v>
      </c>
      <c r="H77" s="6" t="s">
        <v>668</v>
      </c>
      <c r="I77" s="6">
        <v>46</v>
      </c>
      <c r="J77" s="6" t="s">
        <v>60</v>
      </c>
      <c r="K77" s="6"/>
      <c r="L77" s="6" t="s">
        <v>46</v>
      </c>
    </row>
    <row r="78" spans="1:12" ht="29" x14ac:dyDescent="0.35">
      <c r="A78" s="6" t="s">
        <v>649</v>
      </c>
      <c r="B78" s="6" t="s">
        <v>673</v>
      </c>
      <c r="C78" s="6"/>
      <c r="D78" s="6" t="s">
        <v>671</v>
      </c>
      <c r="E78" s="6" t="s">
        <v>674</v>
      </c>
      <c r="F78" s="6" t="s">
        <v>675</v>
      </c>
      <c r="G78" s="6" t="s">
        <v>761</v>
      </c>
      <c r="H78" s="6" t="s">
        <v>679</v>
      </c>
      <c r="I78" s="6">
        <v>45</v>
      </c>
      <c r="J78" s="6" t="s">
        <v>60</v>
      </c>
      <c r="K78" s="6"/>
      <c r="L78" s="6" t="s">
        <v>46</v>
      </c>
    </row>
    <row r="79" spans="1:12" ht="58" x14ac:dyDescent="0.35">
      <c r="A79" s="6" t="s">
        <v>649</v>
      </c>
      <c r="B79" s="6" t="s">
        <v>681</v>
      </c>
      <c r="C79" s="6"/>
      <c r="D79" s="6" t="s">
        <v>671</v>
      </c>
      <c r="E79" s="6" t="s">
        <v>682</v>
      </c>
      <c r="F79" s="6" t="s">
        <v>683</v>
      </c>
      <c r="G79" s="6" t="s">
        <v>761</v>
      </c>
      <c r="H79" s="6" t="s">
        <v>685</v>
      </c>
      <c r="I79" s="6">
        <v>12</v>
      </c>
      <c r="J79" s="6" t="s">
        <v>45</v>
      </c>
      <c r="K79" s="6"/>
      <c r="L79" s="6" t="s">
        <v>46</v>
      </c>
    </row>
    <row r="80" spans="1:12" ht="43.5" x14ac:dyDescent="0.35">
      <c r="A80" s="6" t="s">
        <v>649</v>
      </c>
      <c r="B80" s="6" t="s">
        <v>689</v>
      </c>
      <c r="C80" s="6"/>
      <c r="D80" s="6" t="s">
        <v>671</v>
      </c>
      <c r="E80" s="6" t="s">
        <v>690</v>
      </c>
      <c r="F80" s="6" t="s">
        <v>691</v>
      </c>
      <c r="G80" s="6" t="s">
        <v>761</v>
      </c>
      <c r="H80" s="6" t="s">
        <v>693</v>
      </c>
      <c r="I80" s="6">
        <v>49</v>
      </c>
      <c r="J80" s="6" t="s">
        <v>45</v>
      </c>
      <c r="K80" s="6"/>
      <c r="L80" s="6" t="s">
        <v>46</v>
      </c>
    </row>
    <row r="81" spans="1:12" ht="43.5" x14ac:dyDescent="0.35">
      <c r="A81" s="6" t="s">
        <v>649</v>
      </c>
      <c r="B81" s="6" t="s">
        <v>698</v>
      </c>
      <c r="C81" s="6"/>
      <c r="D81" s="6" t="s">
        <v>696</v>
      </c>
      <c r="E81" s="6" t="s">
        <v>699</v>
      </c>
      <c r="F81" s="6" t="s">
        <v>700</v>
      </c>
      <c r="G81" s="6" t="s">
        <v>761</v>
      </c>
      <c r="H81" s="6" t="s">
        <v>702</v>
      </c>
      <c r="I81" s="6">
        <v>48</v>
      </c>
      <c r="J81" s="6" t="s">
        <v>45</v>
      </c>
      <c r="K81" s="6"/>
      <c r="L81" s="6" t="s">
        <v>46</v>
      </c>
    </row>
    <row r="82" spans="1:12" ht="43.5" x14ac:dyDescent="0.35">
      <c r="A82" s="6" t="s">
        <v>649</v>
      </c>
      <c r="B82" s="6" t="s">
        <v>704</v>
      </c>
      <c r="C82" s="6"/>
      <c r="D82" s="6" t="s">
        <v>696</v>
      </c>
      <c r="E82" s="6" t="s">
        <v>705</v>
      </c>
      <c r="F82" s="6" t="s">
        <v>706</v>
      </c>
      <c r="G82" s="6" t="s">
        <v>761</v>
      </c>
      <c r="H82" s="6" t="s">
        <v>708</v>
      </c>
      <c r="I82" s="6">
        <v>50</v>
      </c>
      <c r="J82" s="6" t="s">
        <v>45</v>
      </c>
      <c r="K82" s="6"/>
      <c r="L82" s="6" t="s">
        <v>46</v>
      </c>
    </row>
    <row r="83" spans="1:12" ht="43.5" x14ac:dyDescent="0.35">
      <c r="A83" s="6" t="s">
        <v>649</v>
      </c>
      <c r="B83" s="6" t="s">
        <v>710</v>
      </c>
      <c r="C83" s="6" t="s">
        <v>696</v>
      </c>
      <c r="D83" s="6" t="s">
        <v>711</v>
      </c>
      <c r="E83" s="6" t="s">
        <v>712</v>
      </c>
      <c r="F83" s="6" t="s">
        <v>713</v>
      </c>
      <c r="G83" s="6" t="s">
        <v>761</v>
      </c>
      <c r="H83" s="6" t="s">
        <v>715</v>
      </c>
      <c r="I83" s="6">
        <v>43</v>
      </c>
      <c r="J83" s="6" t="s">
        <v>45</v>
      </c>
      <c r="K83" s="6"/>
      <c r="L83" s="6" t="s">
        <v>718</v>
      </c>
    </row>
    <row r="84" spans="1:12" ht="29" x14ac:dyDescent="0.35">
      <c r="A84" s="6" t="s">
        <v>649</v>
      </c>
      <c r="B84" s="6" t="s">
        <v>721</v>
      </c>
      <c r="C84" s="6"/>
      <c r="D84" s="6" t="s">
        <v>148</v>
      </c>
      <c r="E84" s="6" t="s">
        <v>722</v>
      </c>
      <c r="F84" s="6" t="s">
        <v>723</v>
      </c>
      <c r="G84" s="6" t="s">
        <v>761</v>
      </c>
      <c r="H84" s="6" t="s">
        <v>729</v>
      </c>
      <c r="I84" s="6">
        <v>52</v>
      </c>
      <c r="J84" s="6" t="s">
        <v>45</v>
      </c>
      <c r="K84" s="6"/>
      <c r="L84" s="6" t="s">
        <v>46</v>
      </c>
    </row>
    <row r="85" spans="1:12" ht="29" x14ac:dyDescent="0.35">
      <c r="A85" s="6" t="s">
        <v>649</v>
      </c>
      <c r="B85" s="6" t="s">
        <v>731</v>
      </c>
      <c r="C85" s="6"/>
      <c r="D85" s="6" t="s">
        <v>148</v>
      </c>
      <c r="E85" s="6" t="s">
        <v>732</v>
      </c>
      <c r="F85" s="6" t="s">
        <v>733</v>
      </c>
      <c r="G85" s="6" t="s">
        <v>761</v>
      </c>
      <c r="H85" s="6" t="s">
        <v>737</v>
      </c>
      <c r="I85" s="6">
        <v>53</v>
      </c>
      <c r="J85" s="6" t="s">
        <v>45</v>
      </c>
      <c r="K85" s="6"/>
      <c r="L85" s="6" t="s">
        <v>46</v>
      </c>
    </row>
    <row r="86" spans="1:12" ht="29" x14ac:dyDescent="0.35">
      <c r="A86" s="6" t="s">
        <v>649</v>
      </c>
      <c r="B86" s="6" t="s">
        <v>739</v>
      </c>
      <c r="C86" s="6"/>
      <c r="D86" s="6" t="s">
        <v>148</v>
      </c>
      <c r="E86" s="6" t="s">
        <v>740</v>
      </c>
      <c r="F86" s="6" t="s">
        <v>741</v>
      </c>
      <c r="G86" s="6" t="s">
        <v>761</v>
      </c>
      <c r="H86" s="6" t="s">
        <v>746</v>
      </c>
      <c r="I86" s="6">
        <v>54</v>
      </c>
      <c r="J86" s="6" t="s">
        <v>45</v>
      </c>
      <c r="K86" s="6"/>
      <c r="L86" s="6" t="s">
        <v>46</v>
      </c>
    </row>
    <row r="87" spans="1:12" ht="43.5" x14ac:dyDescent="0.35">
      <c r="A87" s="6" t="s">
        <v>649</v>
      </c>
      <c r="B87" s="6" t="s">
        <v>748</v>
      </c>
      <c r="C87" s="6"/>
      <c r="D87" s="6" t="s">
        <v>148</v>
      </c>
      <c r="E87" s="6" t="s">
        <v>749</v>
      </c>
      <c r="F87" s="6" t="s">
        <v>750</v>
      </c>
      <c r="G87" s="6" t="s">
        <v>761</v>
      </c>
      <c r="H87" s="6" t="s">
        <v>752</v>
      </c>
      <c r="I87" s="6">
        <v>55</v>
      </c>
      <c r="J87" s="6" t="s">
        <v>45</v>
      </c>
      <c r="K87" s="6"/>
      <c r="L87" s="6" t="s">
        <v>46</v>
      </c>
    </row>
  </sheetData>
  <autoFilter ref="A1:L8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8" customWidth="1"/>
    <col min="3" max="3" width="48" customWidth="1"/>
    <col min="4" max="5" width="18" customWidth="1"/>
    <col min="6" max="6" width="55" customWidth="1"/>
  </cols>
  <sheetData>
    <row r="1" spans="1:6" x14ac:dyDescent="0.35">
      <c r="A1" s="8" t="s">
        <v>758</v>
      </c>
      <c r="B1" s="8" t="s">
        <v>762</v>
      </c>
      <c r="C1" s="8" t="s">
        <v>763</v>
      </c>
      <c r="D1" s="8" t="s">
        <v>764</v>
      </c>
      <c r="E1" s="8" t="s">
        <v>765</v>
      </c>
      <c r="F1" s="8" t="s">
        <v>766</v>
      </c>
    </row>
    <row r="2" spans="1:6" x14ac:dyDescent="0.35">
      <c r="A2">
        <v>2</v>
      </c>
      <c r="B2" t="s">
        <v>305</v>
      </c>
      <c r="C2" t="s">
        <v>317</v>
      </c>
      <c r="D2" t="s">
        <v>302</v>
      </c>
      <c r="E2" t="s">
        <v>307</v>
      </c>
      <c r="F2" t="s">
        <v>767</v>
      </c>
    </row>
    <row r="3" spans="1:6" x14ac:dyDescent="0.35">
      <c r="A3">
        <v>3</v>
      </c>
      <c r="B3" t="s">
        <v>305</v>
      </c>
      <c r="C3" t="s">
        <v>328</v>
      </c>
      <c r="D3" t="s">
        <v>302</v>
      </c>
      <c r="E3" t="s">
        <v>320</v>
      </c>
      <c r="F3" t="s">
        <v>767</v>
      </c>
    </row>
    <row r="4" spans="1:6" x14ac:dyDescent="0.35">
      <c r="A4">
        <v>4</v>
      </c>
      <c r="B4" t="s">
        <v>305</v>
      </c>
      <c r="C4" t="s">
        <v>338</v>
      </c>
      <c r="D4" t="s">
        <v>302</v>
      </c>
      <c r="E4" t="s">
        <v>331</v>
      </c>
      <c r="F4" t="s">
        <v>767</v>
      </c>
    </row>
    <row r="5" spans="1:6" x14ac:dyDescent="0.35">
      <c r="A5">
        <v>5</v>
      </c>
      <c r="B5" t="s">
        <v>305</v>
      </c>
      <c r="C5" t="s">
        <v>349</v>
      </c>
      <c r="D5" t="s">
        <v>302</v>
      </c>
      <c r="E5" t="s">
        <v>341</v>
      </c>
      <c r="F5" t="s">
        <v>767</v>
      </c>
    </row>
    <row r="6" spans="1:6" x14ac:dyDescent="0.35">
      <c r="A6">
        <v>6</v>
      </c>
      <c r="B6" t="s">
        <v>305</v>
      </c>
      <c r="C6" t="s">
        <v>359</v>
      </c>
      <c r="D6" t="s">
        <v>302</v>
      </c>
      <c r="E6" t="s">
        <v>351</v>
      </c>
      <c r="F6" t="s">
        <v>767</v>
      </c>
    </row>
    <row r="7" spans="1:6" x14ac:dyDescent="0.35">
      <c r="A7">
        <v>7</v>
      </c>
      <c r="B7" t="s">
        <v>305</v>
      </c>
      <c r="C7" t="s">
        <v>658</v>
      </c>
      <c r="D7" t="s">
        <v>649</v>
      </c>
      <c r="E7" t="s">
        <v>654</v>
      </c>
      <c r="F7" t="s">
        <v>767</v>
      </c>
    </row>
    <row r="8" spans="1:6" x14ac:dyDescent="0.35">
      <c r="A8">
        <v>8</v>
      </c>
      <c r="B8" t="s">
        <v>305</v>
      </c>
      <c r="C8" t="s">
        <v>368</v>
      </c>
      <c r="D8" t="s">
        <v>302</v>
      </c>
      <c r="E8" t="s">
        <v>361</v>
      </c>
      <c r="F8" t="s">
        <v>767</v>
      </c>
    </row>
    <row r="9" spans="1:6" x14ac:dyDescent="0.35">
      <c r="A9">
        <v>9</v>
      </c>
      <c r="B9" t="s">
        <v>381</v>
      </c>
      <c r="C9" t="s">
        <v>382</v>
      </c>
      <c r="D9" t="s">
        <v>302</v>
      </c>
      <c r="E9" t="s">
        <v>373</v>
      </c>
      <c r="F9" t="s">
        <v>767</v>
      </c>
    </row>
    <row r="10" spans="1:6" x14ac:dyDescent="0.35">
      <c r="A10">
        <v>10</v>
      </c>
      <c r="B10" t="s">
        <v>381</v>
      </c>
      <c r="C10" t="s">
        <v>391</v>
      </c>
      <c r="D10" t="s">
        <v>302</v>
      </c>
      <c r="E10" t="s">
        <v>384</v>
      </c>
      <c r="F10" t="s">
        <v>767</v>
      </c>
    </row>
    <row r="11" spans="1:6" x14ac:dyDescent="0.35">
      <c r="A11">
        <v>11</v>
      </c>
      <c r="B11" t="s">
        <v>381</v>
      </c>
      <c r="C11" t="s">
        <v>401</v>
      </c>
      <c r="D11" t="s">
        <v>302</v>
      </c>
      <c r="E11" t="s">
        <v>393</v>
      </c>
      <c r="F11" t="s">
        <v>767</v>
      </c>
    </row>
    <row r="12" spans="1:6" x14ac:dyDescent="0.35">
      <c r="A12">
        <v>12</v>
      </c>
      <c r="B12" t="s">
        <v>381</v>
      </c>
      <c r="C12" t="s">
        <v>685</v>
      </c>
      <c r="D12" t="s">
        <v>649</v>
      </c>
      <c r="E12" t="s">
        <v>681</v>
      </c>
      <c r="F12" t="s">
        <v>767</v>
      </c>
    </row>
    <row r="13" spans="1:6" x14ac:dyDescent="0.35">
      <c r="A13">
        <v>13</v>
      </c>
      <c r="B13" t="s">
        <v>381</v>
      </c>
      <c r="C13" t="s">
        <v>412</v>
      </c>
      <c r="D13" t="s">
        <v>302</v>
      </c>
      <c r="E13" t="s">
        <v>403</v>
      </c>
      <c r="F13" t="s">
        <v>767</v>
      </c>
    </row>
    <row r="14" spans="1:6" x14ac:dyDescent="0.35">
      <c r="A14">
        <v>14</v>
      </c>
      <c r="B14" t="s">
        <v>381</v>
      </c>
      <c r="C14" t="s">
        <v>418</v>
      </c>
      <c r="D14" t="s">
        <v>302</v>
      </c>
      <c r="E14" t="s">
        <v>414</v>
      </c>
      <c r="F14" t="s">
        <v>767</v>
      </c>
    </row>
    <row r="15" spans="1:6" x14ac:dyDescent="0.35">
      <c r="A15">
        <v>15</v>
      </c>
      <c r="B15" t="s">
        <v>427</v>
      </c>
      <c r="C15" t="s">
        <v>424</v>
      </c>
      <c r="D15" t="s">
        <v>302</v>
      </c>
      <c r="E15" t="s">
        <v>420</v>
      </c>
      <c r="F15" t="s">
        <v>767</v>
      </c>
    </row>
    <row r="16" spans="1:6" x14ac:dyDescent="0.35">
      <c r="A16">
        <v>16</v>
      </c>
      <c r="B16" t="s">
        <v>427</v>
      </c>
      <c r="C16" t="s">
        <v>432</v>
      </c>
      <c r="D16" t="s">
        <v>302</v>
      </c>
      <c r="E16" t="s">
        <v>428</v>
      </c>
      <c r="F16" t="s">
        <v>767</v>
      </c>
    </row>
    <row r="17" spans="1:6" x14ac:dyDescent="0.35">
      <c r="A17">
        <v>17</v>
      </c>
      <c r="B17" t="s">
        <v>427</v>
      </c>
      <c r="C17" t="s">
        <v>439</v>
      </c>
      <c r="D17" t="s">
        <v>302</v>
      </c>
      <c r="E17" t="s">
        <v>435</v>
      </c>
      <c r="F17" t="s">
        <v>767</v>
      </c>
    </row>
    <row r="18" spans="1:6" x14ac:dyDescent="0.35">
      <c r="A18">
        <v>18</v>
      </c>
      <c r="B18" t="s">
        <v>427</v>
      </c>
      <c r="C18" t="s">
        <v>446</v>
      </c>
      <c r="D18" t="s">
        <v>302</v>
      </c>
      <c r="E18" t="s">
        <v>442</v>
      </c>
      <c r="F18" t="s">
        <v>767</v>
      </c>
    </row>
    <row r="19" spans="1:6" x14ac:dyDescent="0.35">
      <c r="A19">
        <v>19</v>
      </c>
      <c r="B19" t="s">
        <v>427</v>
      </c>
      <c r="C19" t="s">
        <v>457</v>
      </c>
      <c r="D19" t="s">
        <v>302</v>
      </c>
      <c r="E19" t="s">
        <v>449</v>
      </c>
      <c r="F19" t="s">
        <v>767</v>
      </c>
    </row>
    <row r="20" spans="1:6" x14ac:dyDescent="0.35">
      <c r="A20">
        <v>20</v>
      </c>
      <c r="B20" t="s">
        <v>427</v>
      </c>
      <c r="C20" t="s">
        <v>465</v>
      </c>
      <c r="D20" t="s">
        <v>302</v>
      </c>
      <c r="E20" t="s">
        <v>459</v>
      </c>
      <c r="F20" t="s">
        <v>767</v>
      </c>
    </row>
    <row r="21" spans="1:6" x14ac:dyDescent="0.35">
      <c r="A21">
        <v>21</v>
      </c>
      <c r="B21" t="s">
        <v>427</v>
      </c>
      <c r="C21" t="s">
        <v>471</v>
      </c>
      <c r="D21" t="s">
        <v>302</v>
      </c>
      <c r="E21" t="s">
        <v>467</v>
      </c>
      <c r="F21" t="s">
        <v>767</v>
      </c>
    </row>
    <row r="22" spans="1:6" x14ac:dyDescent="0.35">
      <c r="A22">
        <v>22</v>
      </c>
      <c r="B22" t="s">
        <v>427</v>
      </c>
      <c r="C22" t="s">
        <v>478</v>
      </c>
      <c r="D22" t="s">
        <v>302</v>
      </c>
      <c r="E22" t="s">
        <v>474</v>
      </c>
      <c r="F22" t="s">
        <v>767</v>
      </c>
    </row>
    <row r="23" spans="1:6" x14ac:dyDescent="0.35">
      <c r="A23">
        <v>23</v>
      </c>
      <c r="B23" t="s">
        <v>482</v>
      </c>
      <c r="C23" t="s">
        <v>491</v>
      </c>
      <c r="D23" t="s">
        <v>302</v>
      </c>
      <c r="E23" t="s">
        <v>484</v>
      </c>
      <c r="F23" t="s">
        <v>767</v>
      </c>
    </row>
    <row r="24" spans="1:6" x14ac:dyDescent="0.35">
      <c r="A24">
        <v>24</v>
      </c>
      <c r="B24" t="s">
        <v>482</v>
      </c>
      <c r="C24" t="s">
        <v>497</v>
      </c>
      <c r="D24" t="s">
        <v>302</v>
      </c>
      <c r="E24" t="s">
        <v>493</v>
      </c>
      <c r="F24" t="s">
        <v>767</v>
      </c>
    </row>
    <row r="25" spans="1:6" x14ac:dyDescent="0.35">
      <c r="A25">
        <v>25</v>
      </c>
      <c r="B25" t="s">
        <v>482</v>
      </c>
      <c r="C25" t="s">
        <v>504</v>
      </c>
      <c r="D25" t="s">
        <v>302</v>
      </c>
      <c r="E25" t="s">
        <v>500</v>
      </c>
      <c r="F25" t="s">
        <v>767</v>
      </c>
    </row>
    <row r="26" spans="1:6" x14ac:dyDescent="0.35">
      <c r="A26">
        <v>26</v>
      </c>
      <c r="B26" t="s">
        <v>482</v>
      </c>
      <c r="C26" t="s">
        <v>515</v>
      </c>
      <c r="D26" t="s">
        <v>302</v>
      </c>
      <c r="E26" t="s">
        <v>508</v>
      </c>
      <c r="F26" t="s">
        <v>767</v>
      </c>
    </row>
    <row r="27" spans="1:6" x14ac:dyDescent="0.35">
      <c r="A27">
        <v>27</v>
      </c>
      <c r="B27" t="s">
        <v>482</v>
      </c>
      <c r="C27" t="s">
        <v>521</v>
      </c>
      <c r="D27" t="s">
        <v>302</v>
      </c>
      <c r="E27" t="s">
        <v>517</v>
      </c>
      <c r="F27" t="s">
        <v>767</v>
      </c>
    </row>
    <row r="28" spans="1:6" x14ac:dyDescent="0.35">
      <c r="A28">
        <v>28</v>
      </c>
      <c r="B28" t="s">
        <v>482</v>
      </c>
      <c r="C28" t="s">
        <v>527</v>
      </c>
      <c r="D28" t="s">
        <v>302</v>
      </c>
      <c r="E28" t="s">
        <v>523</v>
      </c>
      <c r="F28" t="s">
        <v>767</v>
      </c>
    </row>
    <row r="29" spans="1:6" x14ac:dyDescent="0.35">
      <c r="A29">
        <v>29</v>
      </c>
      <c r="B29" t="s">
        <v>530</v>
      </c>
      <c r="C29" t="s">
        <v>539</v>
      </c>
      <c r="D29" t="s">
        <v>302</v>
      </c>
      <c r="E29" t="s">
        <v>532</v>
      </c>
      <c r="F29" t="s">
        <v>767</v>
      </c>
    </row>
    <row r="30" spans="1:6" x14ac:dyDescent="0.35">
      <c r="A30">
        <v>30</v>
      </c>
      <c r="B30" t="s">
        <v>530</v>
      </c>
      <c r="C30" t="s">
        <v>547</v>
      </c>
      <c r="D30" t="s">
        <v>302</v>
      </c>
      <c r="E30" t="s">
        <v>541</v>
      </c>
      <c r="F30" t="s">
        <v>767</v>
      </c>
    </row>
    <row r="31" spans="1:6" x14ac:dyDescent="0.35">
      <c r="A31">
        <v>31</v>
      </c>
      <c r="B31" t="s">
        <v>530</v>
      </c>
      <c r="C31" t="s">
        <v>553</v>
      </c>
      <c r="D31" t="s">
        <v>302</v>
      </c>
      <c r="E31" t="s">
        <v>549</v>
      </c>
      <c r="F31" t="s">
        <v>767</v>
      </c>
    </row>
    <row r="32" spans="1:6" x14ac:dyDescent="0.35">
      <c r="A32">
        <v>32</v>
      </c>
      <c r="B32" t="s">
        <v>530</v>
      </c>
      <c r="C32" t="s">
        <v>559</v>
      </c>
      <c r="D32" t="s">
        <v>302</v>
      </c>
      <c r="E32" t="s">
        <v>555</v>
      </c>
      <c r="F32" t="s">
        <v>767</v>
      </c>
    </row>
    <row r="33" spans="1:6" x14ac:dyDescent="0.35">
      <c r="A33">
        <v>33</v>
      </c>
      <c r="B33" t="s">
        <v>30</v>
      </c>
      <c r="C33" t="s">
        <v>572</v>
      </c>
      <c r="D33" t="s">
        <v>302</v>
      </c>
      <c r="E33" t="s">
        <v>563</v>
      </c>
      <c r="F33" t="s">
        <v>767</v>
      </c>
    </row>
    <row r="34" spans="1:6" x14ac:dyDescent="0.35">
      <c r="A34">
        <v>34</v>
      </c>
      <c r="B34" t="s">
        <v>30</v>
      </c>
      <c r="C34" t="s">
        <v>578</v>
      </c>
      <c r="D34" t="s">
        <v>302</v>
      </c>
      <c r="E34" t="s">
        <v>574</v>
      </c>
      <c r="F34" t="s">
        <v>767</v>
      </c>
    </row>
    <row r="35" spans="1:6" x14ac:dyDescent="0.35">
      <c r="A35">
        <v>35</v>
      </c>
      <c r="B35" t="s">
        <v>30</v>
      </c>
      <c r="C35" t="s">
        <v>585</v>
      </c>
      <c r="D35" t="s">
        <v>302</v>
      </c>
      <c r="E35" t="s">
        <v>581</v>
      </c>
      <c r="F35" t="s">
        <v>767</v>
      </c>
    </row>
    <row r="36" spans="1:6" x14ac:dyDescent="0.35">
      <c r="A36">
        <v>36</v>
      </c>
      <c r="B36" t="s">
        <v>30</v>
      </c>
      <c r="C36" t="s">
        <v>593</v>
      </c>
      <c r="D36" t="s">
        <v>302</v>
      </c>
      <c r="E36" t="s">
        <v>589</v>
      </c>
      <c r="F36" t="s">
        <v>767</v>
      </c>
    </row>
    <row r="37" spans="1:6" x14ac:dyDescent="0.35">
      <c r="A37">
        <v>38</v>
      </c>
      <c r="B37" t="s">
        <v>30</v>
      </c>
      <c r="C37" t="s">
        <v>42</v>
      </c>
      <c r="D37" t="s">
        <v>24</v>
      </c>
      <c r="E37" t="s">
        <v>32</v>
      </c>
      <c r="F37" t="s">
        <v>767</v>
      </c>
    </row>
    <row r="38" spans="1:6" x14ac:dyDescent="0.35">
      <c r="A38">
        <v>39</v>
      </c>
      <c r="B38" t="s">
        <v>597</v>
      </c>
      <c r="C38" t="s">
        <v>606</v>
      </c>
      <c r="D38" t="s">
        <v>302</v>
      </c>
      <c r="E38" t="s">
        <v>599</v>
      </c>
      <c r="F38" t="s">
        <v>767</v>
      </c>
    </row>
    <row r="39" spans="1:6" x14ac:dyDescent="0.35">
      <c r="A39">
        <v>40</v>
      </c>
      <c r="B39" t="s">
        <v>597</v>
      </c>
      <c r="C39" t="s">
        <v>615</v>
      </c>
      <c r="D39" t="s">
        <v>302</v>
      </c>
      <c r="E39" t="s">
        <v>608</v>
      </c>
      <c r="F39" t="s">
        <v>767</v>
      </c>
    </row>
    <row r="40" spans="1:6" x14ac:dyDescent="0.35">
      <c r="A40">
        <v>41</v>
      </c>
      <c r="B40" t="s">
        <v>597</v>
      </c>
      <c r="C40" t="s">
        <v>621</v>
      </c>
      <c r="D40" t="s">
        <v>302</v>
      </c>
      <c r="E40" t="s">
        <v>617</v>
      </c>
      <c r="F40" t="s">
        <v>767</v>
      </c>
    </row>
    <row r="41" spans="1:6" x14ac:dyDescent="0.35">
      <c r="A41">
        <v>42</v>
      </c>
      <c r="B41" t="s">
        <v>597</v>
      </c>
      <c r="C41" t="s">
        <v>627</v>
      </c>
      <c r="D41" t="s">
        <v>302</v>
      </c>
      <c r="E41" t="s">
        <v>623</v>
      </c>
      <c r="F41" t="s">
        <v>767</v>
      </c>
    </row>
    <row r="42" spans="1:6" x14ac:dyDescent="0.35">
      <c r="A42">
        <v>44</v>
      </c>
      <c r="B42" t="s">
        <v>597</v>
      </c>
      <c r="C42" t="s">
        <v>637</v>
      </c>
      <c r="D42" t="s">
        <v>302</v>
      </c>
      <c r="E42" t="s">
        <v>630</v>
      </c>
      <c r="F42" t="s">
        <v>767</v>
      </c>
    </row>
    <row r="43" spans="1:6" x14ac:dyDescent="0.35">
      <c r="A43">
        <v>45</v>
      </c>
      <c r="B43" t="s">
        <v>191</v>
      </c>
      <c r="C43" t="s">
        <v>679</v>
      </c>
      <c r="D43" t="s">
        <v>649</v>
      </c>
      <c r="E43" t="s">
        <v>673</v>
      </c>
      <c r="F43" t="s">
        <v>767</v>
      </c>
    </row>
    <row r="44" spans="1:6" x14ac:dyDescent="0.35">
      <c r="A44">
        <v>46</v>
      </c>
      <c r="B44" t="s">
        <v>191</v>
      </c>
      <c r="C44" t="s">
        <v>668</v>
      </c>
      <c r="D44" t="s">
        <v>649</v>
      </c>
      <c r="E44" t="s">
        <v>661</v>
      </c>
      <c r="F44" t="s">
        <v>767</v>
      </c>
    </row>
    <row r="45" spans="1:6" x14ac:dyDescent="0.35">
      <c r="A45">
        <v>47</v>
      </c>
      <c r="B45" t="s">
        <v>191</v>
      </c>
      <c r="C45" t="s">
        <v>192</v>
      </c>
      <c r="D45" t="s">
        <v>24</v>
      </c>
      <c r="E45" t="s">
        <v>182</v>
      </c>
      <c r="F45" t="s">
        <v>767</v>
      </c>
    </row>
    <row r="46" spans="1:6" x14ac:dyDescent="0.35">
      <c r="A46">
        <v>48</v>
      </c>
      <c r="B46" t="s">
        <v>191</v>
      </c>
      <c r="C46" t="s">
        <v>702</v>
      </c>
      <c r="D46" t="s">
        <v>649</v>
      </c>
      <c r="E46" t="s">
        <v>698</v>
      </c>
      <c r="F46" t="s">
        <v>767</v>
      </c>
    </row>
    <row r="47" spans="1:6" x14ac:dyDescent="0.35">
      <c r="A47">
        <v>49</v>
      </c>
      <c r="B47" t="s">
        <v>191</v>
      </c>
      <c r="C47" t="s">
        <v>693</v>
      </c>
      <c r="D47" t="s">
        <v>649</v>
      </c>
      <c r="E47" t="s">
        <v>689</v>
      </c>
      <c r="F47" t="s">
        <v>767</v>
      </c>
    </row>
    <row r="48" spans="1:6" x14ac:dyDescent="0.35">
      <c r="A48">
        <v>50</v>
      </c>
      <c r="B48" t="s">
        <v>191</v>
      </c>
      <c r="C48" t="s">
        <v>708</v>
      </c>
      <c r="D48" t="s">
        <v>649</v>
      </c>
      <c r="E48" t="s">
        <v>704</v>
      </c>
      <c r="F48" t="s">
        <v>767</v>
      </c>
    </row>
    <row r="49" spans="1:6" x14ac:dyDescent="0.35">
      <c r="A49">
        <v>51</v>
      </c>
      <c r="B49" t="s">
        <v>148</v>
      </c>
      <c r="C49" t="s">
        <v>645</v>
      </c>
      <c r="D49" t="s">
        <v>302</v>
      </c>
      <c r="E49" t="s">
        <v>641</v>
      </c>
      <c r="F49" t="s">
        <v>767</v>
      </c>
    </row>
    <row r="50" spans="1:6" x14ac:dyDescent="0.35">
      <c r="A50">
        <v>52</v>
      </c>
      <c r="B50" t="s">
        <v>148</v>
      </c>
      <c r="C50" t="s">
        <v>729</v>
      </c>
      <c r="D50" t="s">
        <v>649</v>
      </c>
      <c r="E50" t="s">
        <v>721</v>
      </c>
      <c r="F50" t="s">
        <v>767</v>
      </c>
    </row>
    <row r="51" spans="1:6" x14ac:dyDescent="0.35">
      <c r="A51">
        <v>53</v>
      </c>
      <c r="B51" t="s">
        <v>148</v>
      </c>
      <c r="C51" t="s">
        <v>737</v>
      </c>
      <c r="D51" t="s">
        <v>649</v>
      </c>
      <c r="E51" t="s">
        <v>731</v>
      </c>
      <c r="F51" t="s">
        <v>767</v>
      </c>
    </row>
    <row r="52" spans="1:6" x14ac:dyDescent="0.35">
      <c r="A52">
        <v>54</v>
      </c>
      <c r="B52" t="s">
        <v>148</v>
      </c>
      <c r="C52" t="s">
        <v>746</v>
      </c>
      <c r="D52" t="s">
        <v>649</v>
      </c>
      <c r="E52" t="s">
        <v>739</v>
      </c>
      <c r="F52" t="s">
        <v>767</v>
      </c>
    </row>
    <row r="53" spans="1:6" x14ac:dyDescent="0.35">
      <c r="A53">
        <v>55</v>
      </c>
      <c r="B53" t="s">
        <v>148</v>
      </c>
      <c r="C53" t="s">
        <v>752</v>
      </c>
      <c r="D53" t="s">
        <v>649</v>
      </c>
      <c r="E53" t="s">
        <v>748</v>
      </c>
      <c r="F53" t="s">
        <v>767</v>
      </c>
    </row>
    <row r="54" spans="1:6" x14ac:dyDescent="0.35">
      <c r="A54">
        <v>37</v>
      </c>
      <c r="B54" t="s">
        <v>30</v>
      </c>
      <c r="C54" t="s">
        <v>56</v>
      </c>
      <c r="D54" t="s">
        <v>24</v>
      </c>
      <c r="E54" t="s">
        <v>47</v>
      </c>
      <c r="F54" t="s">
        <v>61</v>
      </c>
    </row>
    <row r="55" spans="1:6" x14ac:dyDescent="0.35">
      <c r="A55">
        <v>37</v>
      </c>
      <c r="B55" t="s">
        <v>30</v>
      </c>
      <c r="C55" t="s">
        <v>56</v>
      </c>
      <c r="D55" t="s">
        <v>24</v>
      </c>
      <c r="E55" t="s">
        <v>62</v>
      </c>
      <c r="F55" t="s">
        <v>61</v>
      </c>
    </row>
    <row r="56" spans="1:6" x14ac:dyDescent="0.35">
      <c r="A56">
        <v>37</v>
      </c>
      <c r="B56" t="s">
        <v>30</v>
      </c>
      <c r="C56" t="s">
        <v>56</v>
      </c>
      <c r="D56" t="s">
        <v>24</v>
      </c>
      <c r="E56" t="s">
        <v>67</v>
      </c>
      <c r="F56" t="s">
        <v>61</v>
      </c>
    </row>
    <row r="57" spans="1:6" x14ac:dyDescent="0.35">
      <c r="A57">
        <v>37</v>
      </c>
      <c r="B57" t="s">
        <v>30</v>
      </c>
      <c r="C57" t="s">
        <v>56</v>
      </c>
      <c r="D57" t="s">
        <v>24</v>
      </c>
      <c r="E57" t="s">
        <v>74</v>
      </c>
      <c r="F57" t="s">
        <v>61</v>
      </c>
    </row>
    <row r="58" spans="1:6" x14ac:dyDescent="0.35">
      <c r="A58">
        <v>37</v>
      </c>
      <c r="B58" t="s">
        <v>30</v>
      </c>
      <c r="C58" t="s">
        <v>56</v>
      </c>
      <c r="D58" t="s">
        <v>24</v>
      </c>
      <c r="E58" t="s">
        <v>79</v>
      </c>
      <c r="F58" t="s">
        <v>61</v>
      </c>
    </row>
    <row r="59" spans="1:6" x14ac:dyDescent="0.35">
      <c r="A59">
        <v>37</v>
      </c>
      <c r="B59" t="s">
        <v>30</v>
      </c>
      <c r="C59" t="s">
        <v>56</v>
      </c>
      <c r="D59" t="s">
        <v>24</v>
      </c>
      <c r="E59" t="s">
        <v>86</v>
      </c>
      <c r="F59" t="s">
        <v>61</v>
      </c>
    </row>
    <row r="60" spans="1:6" x14ac:dyDescent="0.35">
      <c r="A60">
        <v>37</v>
      </c>
      <c r="B60" t="s">
        <v>30</v>
      </c>
      <c r="C60" t="s">
        <v>56</v>
      </c>
      <c r="D60" t="s">
        <v>24</v>
      </c>
      <c r="E60" t="s">
        <v>93</v>
      </c>
      <c r="F60" t="s">
        <v>61</v>
      </c>
    </row>
    <row r="61" spans="1:6" x14ac:dyDescent="0.35">
      <c r="A61">
        <v>37</v>
      </c>
      <c r="B61" t="s">
        <v>30</v>
      </c>
      <c r="C61" t="s">
        <v>56</v>
      </c>
      <c r="D61" t="s">
        <v>24</v>
      </c>
      <c r="E61" t="s">
        <v>100</v>
      </c>
      <c r="F61" t="s">
        <v>61</v>
      </c>
    </row>
    <row r="62" spans="1:6" x14ac:dyDescent="0.35">
      <c r="A62">
        <v>37</v>
      </c>
      <c r="B62" t="s">
        <v>30</v>
      </c>
      <c r="C62" t="s">
        <v>56</v>
      </c>
      <c r="D62" t="s">
        <v>24</v>
      </c>
      <c r="E62" t="s">
        <v>107</v>
      </c>
      <c r="F62" t="s">
        <v>61</v>
      </c>
    </row>
    <row r="63" spans="1:6" x14ac:dyDescent="0.35">
      <c r="A63">
        <v>56</v>
      </c>
      <c r="B63" t="s">
        <v>148</v>
      </c>
      <c r="C63" t="s">
        <v>149</v>
      </c>
      <c r="D63" t="s">
        <v>24</v>
      </c>
      <c r="E63" t="s">
        <v>141</v>
      </c>
      <c r="F63" t="s">
        <v>153</v>
      </c>
    </row>
    <row r="64" spans="1:6" x14ac:dyDescent="0.35">
      <c r="A64">
        <v>56</v>
      </c>
      <c r="B64" t="s">
        <v>148</v>
      </c>
      <c r="C64" t="s">
        <v>149</v>
      </c>
      <c r="D64" t="s">
        <v>24</v>
      </c>
      <c r="E64" t="s">
        <v>154</v>
      </c>
      <c r="F64" t="s">
        <v>153</v>
      </c>
    </row>
    <row r="65" spans="1:6" x14ac:dyDescent="0.35">
      <c r="A65">
        <v>56</v>
      </c>
      <c r="B65" t="s">
        <v>148</v>
      </c>
      <c r="C65" t="s">
        <v>149</v>
      </c>
      <c r="D65" t="s">
        <v>24</v>
      </c>
      <c r="E65" t="s">
        <v>161</v>
      </c>
      <c r="F65" t="s">
        <v>153</v>
      </c>
    </row>
    <row r="66" spans="1:6" x14ac:dyDescent="0.35">
      <c r="A66">
        <v>43</v>
      </c>
      <c r="B66" t="s">
        <v>597</v>
      </c>
      <c r="C66" t="s">
        <v>715</v>
      </c>
      <c r="D66" t="s">
        <v>649</v>
      </c>
      <c r="E66" t="s">
        <v>710</v>
      </c>
      <c r="F66" t="s">
        <v>768</v>
      </c>
    </row>
  </sheetData>
  <autoFilter ref="A1:F6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7" topLeftCell="A70" activePane="bottomLeft" state="frozen"/>
      <selection pane="bottomLeft" activeCell="B6" sqref="B6"/>
    </sheetView>
  </sheetViews>
  <sheetFormatPr defaultRowHeight="14.5" x14ac:dyDescent="0.35"/>
  <cols>
    <col min="1" max="1" width="5" customWidth="1"/>
    <col min="2" max="2" width="16" customWidth="1"/>
    <col min="3" max="3" width="118" customWidth="1"/>
  </cols>
  <sheetData>
    <row r="1" spans="1:3" ht="26" customHeight="1" x14ac:dyDescent="0.35">
      <c r="A1" s="9" t="s">
        <v>769</v>
      </c>
      <c r="B1" s="9" t="s">
        <v>3</v>
      </c>
      <c r="C1" s="9" t="s">
        <v>770</v>
      </c>
    </row>
    <row r="2" spans="1:3" ht="104" customHeight="1" x14ac:dyDescent="0.35">
      <c r="A2" s="10">
        <v>1</v>
      </c>
      <c r="B2" s="11" t="s">
        <v>305</v>
      </c>
      <c r="C2" s="12" t="s">
        <v>771</v>
      </c>
    </row>
    <row r="3" spans="1:3" ht="104" customHeight="1" x14ac:dyDescent="0.35">
      <c r="A3" s="10">
        <v>2</v>
      </c>
      <c r="B3" s="11" t="s">
        <v>772</v>
      </c>
      <c r="C3" s="12" t="s">
        <v>773</v>
      </c>
    </row>
    <row r="4" spans="1:3" ht="104" customHeight="1" x14ac:dyDescent="0.35">
      <c r="A4" s="10">
        <v>3</v>
      </c>
      <c r="B4" s="11" t="s">
        <v>774</v>
      </c>
      <c r="C4" s="12" t="s">
        <v>775</v>
      </c>
    </row>
    <row r="5" spans="1:3" ht="104" customHeight="1" x14ac:dyDescent="0.35">
      <c r="A5" s="10">
        <v>4</v>
      </c>
      <c r="B5" s="11" t="s">
        <v>482</v>
      </c>
      <c r="C5" s="12" t="s">
        <v>776</v>
      </c>
    </row>
    <row r="6" spans="1:3" ht="104" customHeight="1" x14ac:dyDescent="0.35">
      <c r="A6" s="10">
        <v>5</v>
      </c>
      <c r="B6" s="11" t="s">
        <v>530</v>
      </c>
      <c r="C6" s="12" t="s">
        <v>777</v>
      </c>
    </row>
    <row r="7" spans="1:3" ht="104" customHeight="1" x14ac:dyDescent="0.35">
      <c r="A7" s="10">
        <v>6</v>
      </c>
      <c r="B7" s="11" t="s">
        <v>30</v>
      </c>
      <c r="C7" s="12" t="s">
        <v>778</v>
      </c>
    </row>
    <row r="8" spans="1:3" ht="104" customHeight="1" x14ac:dyDescent="0.35">
      <c r="A8" s="10">
        <v>7</v>
      </c>
      <c r="B8" s="11" t="s">
        <v>597</v>
      </c>
      <c r="C8" s="12" t="s">
        <v>779</v>
      </c>
    </row>
    <row r="9" spans="1:3" ht="104" customHeight="1" x14ac:dyDescent="0.35">
      <c r="A9" s="10">
        <v>8</v>
      </c>
      <c r="B9" s="11" t="s">
        <v>191</v>
      </c>
      <c r="C9" s="12" t="s">
        <v>780</v>
      </c>
    </row>
    <row r="10" spans="1:3" ht="104" customHeight="1" x14ac:dyDescent="0.35">
      <c r="A10" s="10">
        <v>9</v>
      </c>
      <c r="B10" s="11" t="s">
        <v>148</v>
      </c>
      <c r="C10" s="12" t="s">
        <v>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56" customWidth="1"/>
    <col min="3" max="3" width="18" customWidth="1"/>
    <col min="5" max="5" width="44.453125" customWidth="1"/>
  </cols>
  <sheetData>
    <row r="1" spans="1:5" ht="26" customHeight="1" x14ac:dyDescent="0.35">
      <c r="A1" s="9" t="s">
        <v>769</v>
      </c>
      <c r="B1" s="9" t="s">
        <v>4</v>
      </c>
      <c r="C1" s="9" t="s">
        <v>3</v>
      </c>
      <c r="D1" s="9" t="s">
        <v>782</v>
      </c>
      <c r="E1" s="9" t="s">
        <v>783</v>
      </c>
    </row>
    <row r="2" spans="1:5" x14ac:dyDescent="0.35">
      <c r="A2" s="10">
        <v>1</v>
      </c>
      <c r="B2" s="12" t="s">
        <v>317</v>
      </c>
      <c r="C2" s="11" t="s">
        <v>305</v>
      </c>
      <c r="D2" s="11" t="s">
        <v>784</v>
      </c>
      <c r="E2" s="11"/>
    </row>
    <row r="3" spans="1:5" x14ac:dyDescent="0.35">
      <c r="A3" s="10">
        <f t="shared" ref="A3:A8" si="0">A2+1</f>
        <v>2</v>
      </c>
      <c r="B3" s="12" t="s">
        <v>328</v>
      </c>
      <c r="C3" s="11" t="s">
        <v>305</v>
      </c>
      <c r="D3" s="11" t="s">
        <v>785</v>
      </c>
      <c r="E3" s="11"/>
    </row>
    <row r="4" spans="1:5" x14ac:dyDescent="0.35">
      <c r="A4" s="10">
        <f t="shared" si="0"/>
        <v>3</v>
      </c>
      <c r="B4" s="12" t="s">
        <v>338</v>
      </c>
      <c r="C4" s="11" t="s">
        <v>305</v>
      </c>
      <c r="D4" s="11" t="s">
        <v>785</v>
      </c>
      <c r="E4" s="11"/>
    </row>
    <row r="5" spans="1:5" x14ac:dyDescent="0.35">
      <c r="A5" s="10">
        <f t="shared" si="0"/>
        <v>4</v>
      </c>
      <c r="B5" s="12" t="s">
        <v>349</v>
      </c>
      <c r="C5" s="11" t="s">
        <v>305</v>
      </c>
      <c r="D5" s="11" t="s">
        <v>785</v>
      </c>
      <c r="E5" s="11"/>
    </row>
    <row r="6" spans="1:5" x14ac:dyDescent="0.35">
      <c r="A6" s="10">
        <f t="shared" si="0"/>
        <v>5</v>
      </c>
      <c r="B6" s="12" t="s">
        <v>359</v>
      </c>
      <c r="C6" s="11" t="s">
        <v>305</v>
      </c>
      <c r="D6" s="11" t="s">
        <v>785</v>
      </c>
      <c r="E6" s="11"/>
    </row>
    <row r="7" spans="1:5" x14ac:dyDescent="0.35">
      <c r="A7" s="10">
        <f t="shared" si="0"/>
        <v>6</v>
      </c>
      <c r="B7" s="12" t="s">
        <v>658</v>
      </c>
      <c r="C7" s="11" t="s">
        <v>305</v>
      </c>
      <c r="D7" s="11" t="s">
        <v>785</v>
      </c>
      <c r="E7" s="11"/>
    </row>
    <row r="8" spans="1:5" x14ac:dyDescent="0.35">
      <c r="A8" s="10">
        <f t="shared" si="0"/>
        <v>7</v>
      </c>
      <c r="B8" s="12" t="s">
        <v>368</v>
      </c>
      <c r="C8" s="11" t="s">
        <v>305</v>
      </c>
      <c r="D8" s="11" t="s">
        <v>785</v>
      </c>
      <c r="E8" s="11"/>
    </row>
    <row r="9" spans="1:5" x14ac:dyDescent="0.35">
      <c r="A9" s="13"/>
      <c r="B9" s="14"/>
      <c r="C9" s="15"/>
      <c r="D9" s="15"/>
      <c r="E9" s="15"/>
    </row>
    <row r="10" spans="1:5" x14ac:dyDescent="0.35">
      <c r="A10" s="10">
        <f>A8+1</f>
        <v>8</v>
      </c>
      <c r="B10" s="12" t="s">
        <v>382</v>
      </c>
      <c r="C10" s="11" t="s">
        <v>381</v>
      </c>
      <c r="D10" s="11" t="s">
        <v>784</v>
      </c>
      <c r="E10" s="11"/>
    </row>
    <row r="11" spans="1:5" x14ac:dyDescent="0.35">
      <c r="A11" s="10">
        <f t="shared" ref="A11:A17" si="1">A10+1</f>
        <v>9</v>
      </c>
      <c r="B11" s="12" t="s">
        <v>391</v>
      </c>
      <c r="C11" s="11" t="s">
        <v>381</v>
      </c>
      <c r="D11" s="11" t="s">
        <v>784</v>
      </c>
      <c r="E11" s="11"/>
    </row>
    <row r="12" spans="1:5" x14ac:dyDescent="0.35">
      <c r="A12" s="10">
        <f t="shared" si="1"/>
        <v>10</v>
      </c>
      <c r="B12" s="12" t="s">
        <v>786</v>
      </c>
      <c r="C12" s="11" t="s">
        <v>381</v>
      </c>
      <c r="D12" s="11" t="s">
        <v>784</v>
      </c>
      <c r="E12" s="11"/>
    </row>
    <row r="13" spans="1:5" x14ac:dyDescent="0.35">
      <c r="A13" s="10">
        <f t="shared" si="1"/>
        <v>11</v>
      </c>
      <c r="B13" s="12" t="s">
        <v>401</v>
      </c>
      <c r="C13" s="11" t="s">
        <v>381</v>
      </c>
      <c r="D13" s="11" t="s">
        <v>785</v>
      </c>
      <c r="E13" s="11" t="s">
        <v>787</v>
      </c>
    </row>
    <row r="14" spans="1:5" x14ac:dyDescent="0.35">
      <c r="A14" s="10">
        <f t="shared" si="1"/>
        <v>12</v>
      </c>
      <c r="B14" s="12" t="s">
        <v>685</v>
      </c>
      <c r="C14" s="11" t="s">
        <v>381</v>
      </c>
      <c r="D14" s="11" t="s">
        <v>785</v>
      </c>
      <c r="E14" s="11"/>
    </row>
    <row r="15" spans="1:5" x14ac:dyDescent="0.35">
      <c r="A15" s="10">
        <f t="shared" si="1"/>
        <v>13</v>
      </c>
      <c r="B15" s="12" t="s">
        <v>788</v>
      </c>
      <c r="C15" s="11" t="s">
        <v>381</v>
      </c>
      <c r="D15" s="11" t="s">
        <v>785</v>
      </c>
      <c r="E15" s="11"/>
    </row>
    <row r="16" spans="1:5" x14ac:dyDescent="0.35">
      <c r="A16" s="10">
        <f t="shared" si="1"/>
        <v>14</v>
      </c>
      <c r="B16" s="12" t="s">
        <v>789</v>
      </c>
      <c r="C16" s="11" t="s">
        <v>381</v>
      </c>
      <c r="D16" s="11" t="s">
        <v>785</v>
      </c>
      <c r="E16" s="11"/>
    </row>
    <row r="17" spans="1:5" x14ac:dyDescent="0.35">
      <c r="A17" s="10">
        <f t="shared" si="1"/>
        <v>15</v>
      </c>
      <c r="B17" s="12" t="s">
        <v>412</v>
      </c>
      <c r="C17" s="11" t="s">
        <v>381</v>
      </c>
      <c r="D17" s="11" t="s">
        <v>785</v>
      </c>
      <c r="E17" s="11"/>
    </row>
    <row r="18" spans="1:5" x14ac:dyDescent="0.35">
      <c r="A18" s="13"/>
      <c r="B18" s="14"/>
      <c r="C18" s="15"/>
      <c r="D18" s="15"/>
      <c r="E18" s="15"/>
    </row>
    <row r="19" spans="1:5" x14ac:dyDescent="0.35">
      <c r="A19" s="10">
        <f>A17+1</f>
        <v>16</v>
      </c>
      <c r="B19" s="12" t="s">
        <v>424</v>
      </c>
      <c r="C19" s="11" t="s">
        <v>427</v>
      </c>
      <c r="D19" s="11" t="s">
        <v>785</v>
      </c>
      <c r="E19" s="11"/>
    </row>
    <row r="20" spans="1:5" x14ac:dyDescent="0.35">
      <c r="A20" s="10">
        <f t="shared" ref="A20:A60" si="2">A19+1</f>
        <v>17</v>
      </c>
      <c r="B20" s="12" t="s">
        <v>432</v>
      </c>
      <c r="C20" s="11" t="s">
        <v>427</v>
      </c>
      <c r="D20" s="11" t="s">
        <v>785</v>
      </c>
      <c r="E20" s="11"/>
    </row>
    <row r="21" spans="1:5" x14ac:dyDescent="0.35">
      <c r="A21" s="10">
        <f t="shared" si="2"/>
        <v>18</v>
      </c>
      <c r="B21" s="12" t="s">
        <v>439</v>
      </c>
      <c r="C21" s="11" t="s">
        <v>427</v>
      </c>
      <c r="D21" s="11" t="s">
        <v>785</v>
      </c>
      <c r="E21" s="11"/>
    </row>
    <row r="22" spans="1:5" x14ac:dyDescent="0.35">
      <c r="A22" s="10">
        <f t="shared" si="2"/>
        <v>19</v>
      </c>
      <c r="B22" s="12" t="s">
        <v>446</v>
      </c>
      <c r="C22" s="11" t="s">
        <v>427</v>
      </c>
      <c r="D22" s="11" t="s">
        <v>785</v>
      </c>
      <c r="E22" s="11"/>
    </row>
    <row r="23" spans="1:5" x14ac:dyDescent="0.35">
      <c r="A23" s="10">
        <f t="shared" si="2"/>
        <v>20</v>
      </c>
      <c r="B23" s="12" t="s">
        <v>457</v>
      </c>
      <c r="C23" s="11" t="s">
        <v>427</v>
      </c>
      <c r="D23" s="11" t="s">
        <v>785</v>
      </c>
      <c r="E23" s="11"/>
    </row>
    <row r="24" spans="1:5" x14ac:dyDescent="0.35">
      <c r="A24" s="10">
        <f t="shared" si="2"/>
        <v>21</v>
      </c>
      <c r="B24" s="12" t="s">
        <v>465</v>
      </c>
      <c r="C24" s="11" t="s">
        <v>427</v>
      </c>
      <c r="D24" s="11" t="s">
        <v>785</v>
      </c>
      <c r="E24" s="11"/>
    </row>
    <row r="25" spans="1:5" x14ac:dyDescent="0.35">
      <c r="A25" s="10">
        <f t="shared" si="2"/>
        <v>22</v>
      </c>
      <c r="B25" s="12" t="s">
        <v>471</v>
      </c>
      <c r="C25" s="11" t="s">
        <v>427</v>
      </c>
      <c r="D25" s="11" t="s">
        <v>785</v>
      </c>
      <c r="E25" s="11"/>
    </row>
    <row r="26" spans="1:5" x14ac:dyDescent="0.35">
      <c r="A26" s="10">
        <f t="shared" si="2"/>
        <v>23</v>
      </c>
      <c r="B26" s="12" t="s">
        <v>478</v>
      </c>
      <c r="C26" s="11" t="s">
        <v>427</v>
      </c>
      <c r="D26" s="11" t="s">
        <v>785</v>
      </c>
      <c r="E26" s="11"/>
    </row>
    <row r="27" spans="1:5" x14ac:dyDescent="0.35">
      <c r="A27" s="10">
        <f t="shared" si="2"/>
        <v>24</v>
      </c>
      <c r="B27" s="12" t="s">
        <v>491</v>
      </c>
      <c r="C27" s="11" t="s">
        <v>482</v>
      </c>
      <c r="D27" s="11" t="s">
        <v>785</v>
      </c>
      <c r="E27" s="11"/>
    </row>
    <row r="28" spans="1:5" x14ac:dyDescent="0.35">
      <c r="A28" s="10">
        <f t="shared" si="2"/>
        <v>25</v>
      </c>
      <c r="B28" s="12" t="s">
        <v>497</v>
      </c>
      <c r="C28" s="11" t="s">
        <v>482</v>
      </c>
      <c r="D28" s="11" t="s">
        <v>785</v>
      </c>
      <c r="E28" s="11"/>
    </row>
    <row r="29" spans="1:5" x14ac:dyDescent="0.35">
      <c r="A29" s="10">
        <f t="shared" si="2"/>
        <v>26</v>
      </c>
      <c r="B29" s="12" t="s">
        <v>504</v>
      </c>
      <c r="C29" s="11" t="s">
        <v>482</v>
      </c>
      <c r="D29" s="11" t="s">
        <v>785</v>
      </c>
      <c r="E29" s="11"/>
    </row>
    <row r="30" spans="1:5" x14ac:dyDescent="0.35">
      <c r="A30" s="10">
        <f t="shared" si="2"/>
        <v>27</v>
      </c>
      <c r="B30" s="12" t="s">
        <v>515</v>
      </c>
      <c r="C30" s="11" t="s">
        <v>482</v>
      </c>
      <c r="D30" s="11" t="s">
        <v>785</v>
      </c>
      <c r="E30" s="11"/>
    </row>
    <row r="31" spans="1:5" x14ac:dyDescent="0.35">
      <c r="A31" s="10">
        <f t="shared" si="2"/>
        <v>28</v>
      </c>
      <c r="B31" s="12" t="s">
        <v>521</v>
      </c>
      <c r="C31" s="11" t="s">
        <v>482</v>
      </c>
      <c r="D31" s="11" t="s">
        <v>785</v>
      </c>
      <c r="E31" s="11"/>
    </row>
    <row r="32" spans="1:5" x14ac:dyDescent="0.35">
      <c r="A32" s="10">
        <f t="shared" si="2"/>
        <v>29</v>
      </c>
      <c r="B32" s="12" t="s">
        <v>527</v>
      </c>
      <c r="C32" s="11" t="s">
        <v>482</v>
      </c>
      <c r="D32" s="11" t="s">
        <v>785</v>
      </c>
      <c r="E32" s="11"/>
    </row>
    <row r="33" spans="1:5" x14ac:dyDescent="0.35">
      <c r="A33" s="10">
        <f t="shared" si="2"/>
        <v>30</v>
      </c>
      <c r="B33" s="12" t="s">
        <v>539</v>
      </c>
      <c r="C33" s="11" t="s">
        <v>530</v>
      </c>
      <c r="D33" s="11" t="s">
        <v>785</v>
      </c>
      <c r="E33" s="11"/>
    </row>
    <row r="34" spans="1:5" x14ac:dyDescent="0.35">
      <c r="A34" s="10">
        <f t="shared" si="2"/>
        <v>31</v>
      </c>
      <c r="B34" s="12" t="s">
        <v>547</v>
      </c>
      <c r="C34" s="11" t="s">
        <v>530</v>
      </c>
      <c r="D34" s="11" t="s">
        <v>785</v>
      </c>
      <c r="E34" s="11"/>
    </row>
    <row r="35" spans="1:5" x14ac:dyDescent="0.35">
      <c r="A35" s="10">
        <f t="shared" si="2"/>
        <v>32</v>
      </c>
      <c r="B35" s="12" t="s">
        <v>553</v>
      </c>
      <c r="C35" s="11" t="s">
        <v>530</v>
      </c>
      <c r="D35" s="11" t="s">
        <v>785</v>
      </c>
      <c r="E35" s="11"/>
    </row>
    <row r="36" spans="1:5" x14ac:dyDescent="0.35">
      <c r="A36" s="10">
        <f t="shared" si="2"/>
        <v>33</v>
      </c>
      <c r="B36" s="12" t="s">
        <v>559</v>
      </c>
      <c r="C36" s="11" t="s">
        <v>530</v>
      </c>
      <c r="D36" s="11" t="s">
        <v>785</v>
      </c>
      <c r="E36" s="11"/>
    </row>
    <row r="37" spans="1:5" x14ac:dyDescent="0.35">
      <c r="A37" s="10">
        <f t="shared" si="2"/>
        <v>34</v>
      </c>
      <c r="B37" s="12" t="s">
        <v>572</v>
      </c>
      <c r="C37" s="11" t="s">
        <v>30</v>
      </c>
      <c r="D37" s="11" t="s">
        <v>785</v>
      </c>
      <c r="E37" s="11"/>
    </row>
    <row r="38" spans="1:5" x14ac:dyDescent="0.35">
      <c r="A38" s="10">
        <f t="shared" si="2"/>
        <v>35</v>
      </c>
      <c r="B38" s="12" t="s">
        <v>578</v>
      </c>
      <c r="C38" s="11" t="s">
        <v>30</v>
      </c>
      <c r="D38" s="11" t="s">
        <v>785</v>
      </c>
      <c r="E38" s="11"/>
    </row>
    <row r="39" spans="1:5" x14ac:dyDescent="0.35">
      <c r="A39" s="10">
        <f t="shared" si="2"/>
        <v>36</v>
      </c>
      <c r="B39" s="12" t="s">
        <v>585</v>
      </c>
      <c r="C39" s="11" t="s">
        <v>30</v>
      </c>
      <c r="D39" s="11" t="s">
        <v>785</v>
      </c>
      <c r="E39" s="11"/>
    </row>
    <row r="40" spans="1:5" x14ac:dyDescent="0.35">
      <c r="A40" s="10">
        <f t="shared" si="2"/>
        <v>37</v>
      </c>
      <c r="B40" s="12" t="s">
        <v>593</v>
      </c>
      <c r="C40" s="11" t="s">
        <v>30</v>
      </c>
      <c r="D40" s="11" t="s">
        <v>785</v>
      </c>
      <c r="E40" s="11"/>
    </row>
    <row r="41" spans="1:5" x14ac:dyDescent="0.35">
      <c r="A41" s="10">
        <f t="shared" si="2"/>
        <v>38</v>
      </c>
      <c r="B41" s="12" t="s">
        <v>56</v>
      </c>
      <c r="C41" s="11" t="s">
        <v>30</v>
      </c>
      <c r="D41" s="11" t="s">
        <v>785</v>
      </c>
      <c r="E41" s="11"/>
    </row>
    <row r="42" spans="1:5" x14ac:dyDescent="0.35">
      <c r="A42" s="10">
        <f t="shared" si="2"/>
        <v>39</v>
      </c>
      <c r="B42" s="12" t="s">
        <v>42</v>
      </c>
      <c r="C42" s="11" t="s">
        <v>30</v>
      </c>
      <c r="D42" s="11" t="s">
        <v>785</v>
      </c>
      <c r="E42" s="11"/>
    </row>
    <row r="43" spans="1:5" x14ac:dyDescent="0.35">
      <c r="A43" s="10">
        <f t="shared" si="2"/>
        <v>40</v>
      </c>
      <c r="B43" s="12" t="s">
        <v>606</v>
      </c>
      <c r="C43" s="11" t="s">
        <v>597</v>
      </c>
      <c r="D43" s="11" t="s">
        <v>785</v>
      </c>
      <c r="E43" s="11"/>
    </row>
    <row r="44" spans="1:5" x14ac:dyDescent="0.35">
      <c r="A44" s="10">
        <f t="shared" si="2"/>
        <v>41</v>
      </c>
      <c r="B44" s="12" t="s">
        <v>615</v>
      </c>
      <c r="C44" s="11" t="s">
        <v>597</v>
      </c>
      <c r="D44" s="11" t="s">
        <v>785</v>
      </c>
      <c r="E44" s="11"/>
    </row>
    <row r="45" spans="1:5" x14ac:dyDescent="0.35">
      <c r="A45" s="10">
        <f t="shared" si="2"/>
        <v>42</v>
      </c>
      <c r="B45" s="12" t="s">
        <v>621</v>
      </c>
      <c r="C45" s="11" t="s">
        <v>597</v>
      </c>
      <c r="D45" s="11" t="s">
        <v>785</v>
      </c>
      <c r="E45" s="11"/>
    </row>
    <row r="46" spans="1:5" x14ac:dyDescent="0.35">
      <c r="A46" s="10">
        <f t="shared" si="2"/>
        <v>43</v>
      </c>
      <c r="B46" s="12" t="s">
        <v>627</v>
      </c>
      <c r="C46" s="11" t="s">
        <v>597</v>
      </c>
      <c r="D46" s="11" t="s">
        <v>785</v>
      </c>
      <c r="E46" s="11"/>
    </row>
    <row r="47" spans="1:5" x14ac:dyDescent="0.35">
      <c r="A47" s="10">
        <f t="shared" si="2"/>
        <v>44</v>
      </c>
      <c r="B47" s="12" t="s">
        <v>715</v>
      </c>
      <c r="C47" s="11" t="s">
        <v>597</v>
      </c>
      <c r="D47" s="11" t="s">
        <v>785</v>
      </c>
      <c r="E47" s="11"/>
    </row>
    <row r="48" spans="1:5" x14ac:dyDescent="0.35">
      <c r="A48" s="10">
        <f t="shared" si="2"/>
        <v>45</v>
      </c>
      <c r="B48" s="12" t="s">
        <v>637</v>
      </c>
      <c r="C48" s="11" t="s">
        <v>597</v>
      </c>
      <c r="D48" s="11" t="s">
        <v>785</v>
      </c>
      <c r="E48" s="11"/>
    </row>
    <row r="49" spans="1:5" x14ac:dyDescent="0.35">
      <c r="A49" s="10">
        <f t="shared" si="2"/>
        <v>46</v>
      </c>
      <c r="B49" s="12" t="s">
        <v>679</v>
      </c>
      <c r="C49" s="11" t="s">
        <v>191</v>
      </c>
      <c r="D49" s="11" t="s">
        <v>785</v>
      </c>
      <c r="E49" s="11"/>
    </row>
    <row r="50" spans="1:5" x14ac:dyDescent="0.35">
      <c r="A50" s="10">
        <f t="shared" si="2"/>
        <v>47</v>
      </c>
      <c r="B50" s="12" t="s">
        <v>668</v>
      </c>
      <c r="C50" s="11" t="s">
        <v>191</v>
      </c>
      <c r="D50" s="11" t="s">
        <v>785</v>
      </c>
      <c r="E50" s="11"/>
    </row>
    <row r="51" spans="1:5" x14ac:dyDescent="0.35">
      <c r="A51" s="10">
        <f t="shared" si="2"/>
        <v>48</v>
      </c>
      <c r="B51" s="12" t="s">
        <v>192</v>
      </c>
      <c r="C51" s="11" t="s">
        <v>191</v>
      </c>
      <c r="D51" s="11" t="s">
        <v>785</v>
      </c>
      <c r="E51" s="11"/>
    </row>
    <row r="52" spans="1:5" x14ac:dyDescent="0.35">
      <c r="A52" s="10">
        <f t="shared" si="2"/>
        <v>49</v>
      </c>
      <c r="B52" s="12" t="s">
        <v>702</v>
      </c>
      <c r="C52" s="11" t="s">
        <v>191</v>
      </c>
      <c r="D52" s="11" t="s">
        <v>785</v>
      </c>
      <c r="E52" s="11"/>
    </row>
    <row r="53" spans="1:5" x14ac:dyDescent="0.35">
      <c r="A53" s="10">
        <f t="shared" si="2"/>
        <v>50</v>
      </c>
      <c r="B53" s="12" t="s">
        <v>693</v>
      </c>
      <c r="C53" s="11" t="s">
        <v>191</v>
      </c>
      <c r="D53" s="11" t="s">
        <v>785</v>
      </c>
      <c r="E53" s="11"/>
    </row>
    <row r="54" spans="1:5" x14ac:dyDescent="0.35">
      <c r="A54" s="10">
        <f t="shared" si="2"/>
        <v>51</v>
      </c>
      <c r="B54" s="12" t="s">
        <v>708</v>
      </c>
      <c r="C54" s="11" t="s">
        <v>191</v>
      </c>
      <c r="D54" s="11" t="s">
        <v>785</v>
      </c>
      <c r="E54" s="11"/>
    </row>
    <row r="55" spans="1:5" x14ac:dyDescent="0.35">
      <c r="A55" s="10">
        <f t="shared" si="2"/>
        <v>52</v>
      </c>
      <c r="B55" s="12" t="s">
        <v>645</v>
      </c>
      <c r="C55" s="11" t="s">
        <v>148</v>
      </c>
      <c r="D55" s="11" t="s">
        <v>785</v>
      </c>
      <c r="E55" s="11"/>
    </row>
    <row r="56" spans="1:5" x14ac:dyDescent="0.35">
      <c r="A56" s="10">
        <f t="shared" si="2"/>
        <v>53</v>
      </c>
      <c r="B56" s="12" t="s">
        <v>729</v>
      </c>
      <c r="C56" s="11" t="s">
        <v>148</v>
      </c>
      <c r="D56" s="11" t="s">
        <v>785</v>
      </c>
      <c r="E56" s="11"/>
    </row>
    <row r="57" spans="1:5" x14ac:dyDescent="0.35">
      <c r="A57" s="10">
        <f t="shared" si="2"/>
        <v>54</v>
      </c>
      <c r="B57" s="12" t="s">
        <v>737</v>
      </c>
      <c r="C57" s="11" t="s">
        <v>148</v>
      </c>
      <c r="D57" s="11" t="s">
        <v>785</v>
      </c>
      <c r="E57" s="11"/>
    </row>
    <row r="58" spans="1:5" x14ac:dyDescent="0.35">
      <c r="A58" s="10">
        <f t="shared" si="2"/>
        <v>55</v>
      </c>
      <c r="B58" s="12" t="s">
        <v>746</v>
      </c>
      <c r="C58" s="11" t="s">
        <v>148</v>
      </c>
      <c r="D58" s="11" t="s">
        <v>785</v>
      </c>
      <c r="E58" s="11"/>
    </row>
    <row r="59" spans="1:5" x14ac:dyDescent="0.35">
      <c r="A59" s="10">
        <f t="shared" si="2"/>
        <v>56</v>
      </c>
      <c r="B59" s="12" t="s">
        <v>752</v>
      </c>
      <c r="C59" s="11" t="s">
        <v>148</v>
      </c>
      <c r="D59" s="11" t="s">
        <v>785</v>
      </c>
      <c r="E59" s="11"/>
    </row>
    <row r="60" spans="1:5" x14ac:dyDescent="0.35">
      <c r="A60" s="10">
        <f t="shared" si="2"/>
        <v>57</v>
      </c>
      <c r="B60" s="12" t="s">
        <v>149</v>
      </c>
      <c r="C60" s="11" t="s">
        <v>148</v>
      </c>
      <c r="D60" s="11" t="s">
        <v>785</v>
      </c>
      <c r="E60" s="1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6"/>
  <sheetViews>
    <sheetView workbookViewId="0">
      <pane ySplit="1" topLeftCell="A3" activePane="bottomLeft" state="frozen"/>
      <selection pane="bottomLeft"/>
    </sheetView>
  </sheetViews>
  <sheetFormatPr defaultRowHeight="14.5" x14ac:dyDescent="0.35"/>
  <cols>
    <col min="1" max="1" width="13" customWidth="1"/>
    <col min="2" max="2" width="32" customWidth="1"/>
    <col min="3" max="3" width="56" customWidth="1"/>
    <col min="4" max="4" width="13" customWidth="1"/>
    <col min="5" max="5" width="26" customWidth="1"/>
    <col min="6" max="6" width="42" customWidth="1"/>
    <col min="7" max="7" width="12" customWidth="1"/>
    <col min="8" max="8" width="42" customWidth="1"/>
  </cols>
  <sheetData>
    <row r="1" spans="1:8" ht="26" customHeight="1" x14ac:dyDescent="0.35">
      <c r="A1" s="9" t="s">
        <v>3</v>
      </c>
      <c r="B1" s="9" t="s">
        <v>4</v>
      </c>
      <c r="C1" s="9" t="s">
        <v>5</v>
      </c>
      <c r="D1" s="9" t="s">
        <v>790</v>
      </c>
      <c r="E1" s="9" t="s">
        <v>791</v>
      </c>
      <c r="F1" s="9" t="s">
        <v>11</v>
      </c>
      <c r="G1" s="9" t="s">
        <v>19</v>
      </c>
      <c r="H1" s="9" t="s">
        <v>792</v>
      </c>
    </row>
    <row r="2" spans="1:8" ht="66" customHeight="1" x14ac:dyDescent="0.35">
      <c r="A2" s="11" t="s">
        <v>305</v>
      </c>
      <c r="B2" s="12" t="s">
        <v>317</v>
      </c>
      <c r="C2" s="12" t="s">
        <v>318</v>
      </c>
      <c r="D2" s="10" t="s">
        <v>319</v>
      </c>
      <c r="E2" s="12" t="s">
        <v>313</v>
      </c>
      <c r="F2" s="16" t="s">
        <v>315</v>
      </c>
      <c r="G2" s="10" t="s">
        <v>45</v>
      </c>
      <c r="H2" s="17"/>
    </row>
    <row r="3" spans="1:8" ht="66" customHeight="1" x14ac:dyDescent="0.35">
      <c r="A3" s="11" t="s">
        <v>305</v>
      </c>
      <c r="B3" s="12" t="s">
        <v>328</v>
      </c>
      <c r="C3" s="12" t="s">
        <v>329</v>
      </c>
      <c r="D3" s="10" t="s">
        <v>44</v>
      </c>
      <c r="E3" s="12" t="s">
        <v>325</v>
      </c>
      <c r="F3" s="16" t="s">
        <v>327</v>
      </c>
      <c r="G3" s="10" t="s">
        <v>45</v>
      </c>
      <c r="H3" s="18" t="s">
        <v>330</v>
      </c>
    </row>
    <row r="4" spans="1:8" ht="66" customHeight="1" x14ac:dyDescent="0.35">
      <c r="A4" s="11" t="s">
        <v>305</v>
      </c>
      <c r="B4" s="12" t="s">
        <v>338</v>
      </c>
      <c r="C4" s="12" t="s">
        <v>339</v>
      </c>
      <c r="D4" s="10" t="s">
        <v>44</v>
      </c>
      <c r="E4" s="12" t="s">
        <v>336</v>
      </c>
      <c r="F4" s="16" t="s">
        <v>315</v>
      </c>
      <c r="G4" s="10" t="s">
        <v>45</v>
      </c>
      <c r="H4" s="17" t="s">
        <v>340</v>
      </c>
    </row>
    <row r="5" spans="1:8" ht="66" customHeight="1" x14ac:dyDescent="0.35">
      <c r="A5" s="11" t="s">
        <v>305</v>
      </c>
      <c r="B5" s="12" t="s">
        <v>349</v>
      </c>
      <c r="C5" s="12" t="s">
        <v>350</v>
      </c>
      <c r="D5" s="10" t="s">
        <v>44</v>
      </c>
      <c r="E5" s="12" t="s">
        <v>346</v>
      </c>
      <c r="F5" s="16" t="s">
        <v>348</v>
      </c>
      <c r="G5" s="10" t="s">
        <v>45</v>
      </c>
      <c r="H5" s="17" t="s">
        <v>340</v>
      </c>
    </row>
    <row r="6" spans="1:8" ht="66" customHeight="1" x14ac:dyDescent="0.35">
      <c r="A6" s="11" t="s">
        <v>305</v>
      </c>
      <c r="B6" s="12" t="s">
        <v>359</v>
      </c>
      <c r="C6" s="12" t="s">
        <v>360</v>
      </c>
      <c r="D6" s="10" t="s">
        <v>44</v>
      </c>
      <c r="E6" s="12" t="s">
        <v>356</v>
      </c>
      <c r="F6" s="16" t="s">
        <v>358</v>
      </c>
      <c r="G6" s="10" t="s">
        <v>45</v>
      </c>
      <c r="H6" s="17" t="s">
        <v>340</v>
      </c>
    </row>
    <row r="7" spans="1:8" ht="66" customHeight="1" x14ac:dyDescent="0.35">
      <c r="A7" s="11" t="s">
        <v>305</v>
      </c>
      <c r="B7" s="12" t="s">
        <v>658</v>
      </c>
      <c r="C7" s="12" t="s">
        <v>656</v>
      </c>
      <c r="D7" s="10" t="s">
        <v>319</v>
      </c>
      <c r="E7" s="12" t="s">
        <v>659</v>
      </c>
      <c r="F7" s="16" t="s">
        <v>400</v>
      </c>
      <c r="G7" s="10" t="s">
        <v>45</v>
      </c>
      <c r="H7" s="17" t="s">
        <v>340</v>
      </c>
    </row>
    <row r="8" spans="1:8" ht="66" customHeight="1" x14ac:dyDescent="0.35">
      <c r="A8" s="11" t="s">
        <v>305</v>
      </c>
      <c r="B8" s="12" t="s">
        <v>368</v>
      </c>
      <c r="C8" s="12" t="s">
        <v>369</v>
      </c>
      <c r="D8" s="10" t="s">
        <v>44</v>
      </c>
      <c r="E8" s="12" t="s">
        <v>366</v>
      </c>
      <c r="F8" s="16" t="s">
        <v>327</v>
      </c>
      <c r="G8" s="10" t="s">
        <v>45</v>
      </c>
      <c r="H8" s="17"/>
    </row>
    <row r="9" spans="1:8" ht="66" customHeight="1" x14ac:dyDescent="0.35">
      <c r="A9" s="11" t="s">
        <v>381</v>
      </c>
      <c r="B9" s="12" t="s">
        <v>382</v>
      </c>
      <c r="C9" s="12" t="s">
        <v>383</v>
      </c>
      <c r="D9" s="10" t="s">
        <v>44</v>
      </c>
      <c r="E9" s="12" t="s">
        <v>378</v>
      </c>
      <c r="F9" s="16" t="s">
        <v>380</v>
      </c>
      <c r="G9" s="10" t="s">
        <v>45</v>
      </c>
      <c r="H9" s="17"/>
    </row>
    <row r="10" spans="1:8" ht="66" customHeight="1" x14ac:dyDescent="0.35">
      <c r="A10" s="11" t="s">
        <v>381</v>
      </c>
      <c r="B10" s="12" t="s">
        <v>391</v>
      </c>
      <c r="C10" s="12" t="s">
        <v>392</v>
      </c>
      <c r="D10" s="10" t="s">
        <v>44</v>
      </c>
      <c r="E10" s="12" t="s">
        <v>389</v>
      </c>
      <c r="F10" s="16" t="s">
        <v>348</v>
      </c>
      <c r="G10" s="10" t="s">
        <v>45</v>
      </c>
      <c r="H10" s="17"/>
    </row>
    <row r="11" spans="1:8" ht="66" customHeight="1" x14ac:dyDescent="0.35">
      <c r="A11" s="11" t="s">
        <v>381</v>
      </c>
      <c r="B11" s="12" t="s">
        <v>401</v>
      </c>
      <c r="C11" s="12" t="s">
        <v>402</v>
      </c>
      <c r="D11" s="10" t="s">
        <v>319</v>
      </c>
      <c r="E11" s="12" t="s">
        <v>398</v>
      </c>
      <c r="F11" s="16" t="s">
        <v>400</v>
      </c>
      <c r="G11" s="10" t="s">
        <v>45</v>
      </c>
      <c r="H11" s="17"/>
    </row>
    <row r="12" spans="1:8" ht="66" customHeight="1" x14ac:dyDescent="0.35">
      <c r="A12" s="11" t="s">
        <v>381</v>
      </c>
      <c r="B12" s="12" t="s">
        <v>685</v>
      </c>
      <c r="C12" s="12" t="s">
        <v>683</v>
      </c>
      <c r="D12" s="10" t="s">
        <v>319</v>
      </c>
      <c r="E12" s="12" t="s">
        <v>686</v>
      </c>
      <c r="F12" s="16" t="s">
        <v>688</v>
      </c>
      <c r="G12" s="10" t="s">
        <v>45</v>
      </c>
      <c r="H12" s="17"/>
    </row>
    <row r="13" spans="1:8" ht="66" customHeight="1" x14ac:dyDescent="0.35">
      <c r="A13" s="11" t="s">
        <v>381</v>
      </c>
      <c r="B13" s="12" t="s">
        <v>412</v>
      </c>
      <c r="C13" s="12" t="s">
        <v>413</v>
      </c>
      <c r="D13" s="10" t="s">
        <v>44</v>
      </c>
      <c r="E13" s="12" t="s">
        <v>408</v>
      </c>
      <c r="F13" s="16" t="s">
        <v>410</v>
      </c>
      <c r="G13" s="10" t="s">
        <v>45</v>
      </c>
      <c r="H13" s="17"/>
    </row>
    <row r="14" spans="1:8" ht="66" customHeight="1" x14ac:dyDescent="0.35">
      <c r="A14" s="11" t="s">
        <v>381</v>
      </c>
      <c r="B14" s="12" t="s">
        <v>418</v>
      </c>
      <c r="C14" s="12" t="s">
        <v>416</v>
      </c>
      <c r="D14" s="10" t="s">
        <v>319</v>
      </c>
      <c r="E14" s="12" t="s">
        <v>419</v>
      </c>
      <c r="F14" s="16" t="s">
        <v>400</v>
      </c>
      <c r="G14" s="10" t="s">
        <v>45</v>
      </c>
      <c r="H14" s="17"/>
    </row>
    <row r="15" spans="1:8" ht="66" customHeight="1" x14ac:dyDescent="0.35">
      <c r="A15" s="11" t="s">
        <v>427</v>
      </c>
      <c r="B15" s="12" t="s">
        <v>424</v>
      </c>
      <c r="C15" s="12" t="s">
        <v>422</v>
      </c>
      <c r="D15" s="10" t="s">
        <v>319</v>
      </c>
      <c r="E15" s="12" t="s">
        <v>425</v>
      </c>
      <c r="F15" s="16" t="s">
        <v>315</v>
      </c>
      <c r="G15" s="10" t="s">
        <v>45</v>
      </c>
      <c r="H15" s="17"/>
    </row>
    <row r="16" spans="1:8" ht="66" customHeight="1" x14ac:dyDescent="0.35">
      <c r="A16" s="11" t="s">
        <v>427</v>
      </c>
      <c r="B16" s="12" t="s">
        <v>432</v>
      </c>
      <c r="C16" s="12" t="s">
        <v>430</v>
      </c>
      <c r="D16" s="10" t="s">
        <v>319</v>
      </c>
      <c r="E16" s="12" t="s">
        <v>433</v>
      </c>
      <c r="F16" s="16" t="s">
        <v>315</v>
      </c>
      <c r="G16" s="10" t="s">
        <v>45</v>
      </c>
      <c r="H16" s="17"/>
    </row>
    <row r="17" spans="1:8" ht="66" customHeight="1" x14ac:dyDescent="0.35">
      <c r="A17" s="11" t="s">
        <v>427</v>
      </c>
      <c r="B17" s="12" t="s">
        <v>439</v>
      </c>
      <c r="C17" s="12" t="s">
        <v>437</v>
      </c>
      <c r="D17" s="10" t="s">
        <v>44</v>
      </c>
      <c r="E17" s="12" t="s">
        <v>440</v>
      </c>
      <c r="F17" s="16" t="s">
        <v>410</v>
      </c>
      <c r="G17" s="10" t="s">
        <v>45</v>
      </c>
      <c r="H17" s="17"/>
    </row>
    <row r="18" spans="1:8" ht="66" customHeight="1" x14ac:dyDescent="0.35">
      <c r="A18" s="11" t="s">
        <v>427</v>
      </c>
      <c r="B18" s="12" t="s">
        <v>446</v>
      </c>
      <c r="C18" s="12" t="s">
        <v>444</v>
      </c>
      <c r="D18" s="10" t="s">
        <v>319</v>
      </c>
      <c r="E18" s="12" t="s">
        <v>447</v>
      </c>
      <c r="F18" s="16" t="s">
        <v>315</v>
      </c>
      <c r="G18" s="10" t="s">
        <v>45</v>
      </c>
      <c r="H18" s="17"/>
    </row>
    <row r="19" spans="1:8" ht="66" customHeight="1" x14ac:dyDescent="0.35">
      <c r="A19" s="11" t="s">
        <v>427</v>
      </c>
      <c r="B19" s="12" t="s">
        <v>457</v>
      </c>
      <c r="C19" s="12" t="s">
        <v>458</v>
      </c>
      <c r="D19" s="10" t="s">
        <v>319</v>
      </c>
      <c r="E19" s="12" t="s">
        <v>454</v>
      </c>
      <c r="F19" s="16" t="s">
        <v>456</v>
      </c>
      <c r="G19" s="10" t="s">
        <v>45</v>
      </c>
      <c r="H19" s="17"/>
    </row>
    <row r="20" spans="1:8" ht="66" customHeight="1" x14ac:dyDescent="0.35">
      <c r="A20" s="11" t="s">
        <v>427</v>
      </c>
      <c r="B20" s="12" t="s">
        <v>465</v>
      </c>
      <c r="C20" s="12" t="s">
        <v>466</v>
      </c>
      <c r="D20" s="10" t="s">
        <v>319</v>
      </c>
      <c r="E20" s="12" t="s">
        <v>464</v>
      </c>
      <c r="F20" s="16" t="s">
        <v>456</v>
      </c>
      <c r="G20" s="10" t="s">
        <v>45</v>
      </c>
      <c r="H20" s="17"/>
    </row>
    <row r="21" spans="1:8" ht="66" customHeight="1" x14ac:dyDescent="0.35">
      <c r="A21" s="11" t="s">
        <v>427</v>
      </c>
      <c r="B21" s="12" t="s">
        <v>471</v>
      </c>
      <c r="C21" s="12" t="s">
        <v>469</v>
      </c>
      <c r="D21" s="10" t="s">
        <v>319</v>
      </c>
      <c r="E21" s="12" t="s">
        <v>472</v>
      </c>
      <c r="F21" s="16" t="s">
        <v>456</v>
      </c>
      <c r="G21" s="10" t="s">
        <v>45</v>
      </c>
      <c r="H21" s="17"/>
    </row>
    <row r="22" spans="1:8" ht="66" customHeight="1" x14ac:dyDescent="0.35">
      <c r="A22" s="11" t="s">
        <v>427</v>
      </c>
      <c r="B22" s="12" t="s">
        <v>478</v>
      </c>
      <c r="C22" s="12" t="s">
        <v>476</v>
      </c>
      <c r="D22" s="10" t="s">
        <v>319</v>
      </c>
      <c r="E22" s="12" t="s">
        <v>479</v>
      </c>
      <c r="F22" s="16" t="s">
        <v>456</v>
      </c>
      <c r="G22" s="10" t="s">
        <v>45</v>
      </c>
      <c r="H22" s="17"/>
    </row>
    <row r="23" spans="1:8" ht="66" customHeight="1" x14ac:dyDescent="0.35">
      <c r="A23" s="11" t="s">
        <v>482</v>
      </c>
      <c r="B23" s="12" t="s">
        <v>491</v>
      </c>
      <c r="C23" s="12" t="s">
        <v>492</v>
      </c>
      <c r="D23" s="10" t="s">
        <v>319</v>
      </c>
      <c r="E23" s="12" t="s">
        <v>489</v>
      </c>
      <c r="F23" s="16" t="s">
        <v>315</v>
      </c>
      <c r="G23" s="19" t="s">
        <v>60</v>
      </c>
      <c r="H23" s="17"/>
    </row>
    <row r="24" spans="1:8" ht="66" customHeight="1" x14ac:dyDescent="0.35">
      <c r="A24" s="11" t="s">
        <v>482</v>
      </c>
      <c r="B24" s="12" t="s">
        <v>497</v>
      </c>
      <c r="C24" s="12" t="s">
        <v>495</v>
      </c>
      <c r="D24" s="10" t="s">
        <v>319</v>
      </c>
      <c r="E24" s="12" t="s">
        <v>498</v>
      </c>
      <c r="F24" s="16" t="s">
        <v>315</v>
      </c>
      <c r="G24" s="10" t="s">
        <v>45</v>
      </c>
      <c r="H24" s="17"/>
    </row>
    <row r="25" spans="1:8" ht="66" customHeight="1" x14ac:dyDescent="0.35">
      <c r="A25" s="11" t="s">
        <v>482</v>
      </c>
      <c r="B25" s="12" t="s">
        <v>504</v>
      </c>
      <c r="C25" s="12" t="s">
        <v>502</v>
      </c>
      <c r="D25" s="10" t="s">
        <v>319</v>
      </c>
      <c r="E25" s="12" t="s">
        <v>505</v>
      </c>
      <c r="F25" s="16" t="s">
        <v>507</v>
      </c>
      <c r="G25" s="10" t="s">
        <v>45</v>
      </c>
      <c r="H25" s="17"/>
    </row>
    <row r="26" spans="1:8" ht="66" customHeight="1" x14ac:dyDescent="0.35">
      <c r="A26" s="11" t="s">
        <v>482</v>
      </c>
      <c r="B26" s="12" t="s">
        <v>515</v>
      </c>
      <c r="C26" s="12" t="s">
        <v>516</v>
      </c>
      <c r="D26" s="10" t="s">
        <v>319</v>
      </c>
      <c r="E26" s="12" t="s">
        <v>513</v>
      </c>
      <c r="F26" s="16" t="s">
        <v>507</v>
      </c>
      <c r="G26" s="10" t="s">
        <v>45</v>
      </c>
      <c r="H26" s="17"/>
    </row>
    <row r="27" spans="1:8" ht="66" customHeight="1" x14ac:dyDescent="0.35">
      <c r="A27" s="11" t="s">
        <v>482</v>
      </c>
      <c r="B27" s="12" t="s">
        <v>521</v>
      </c>
      <c r="C27" s="12" t="s">
        <v>519</v>
      </c>
      <c r="D27" s="10" t="s">
        <v>319</v>
      </c>
      <c r="E27" s="12" t="s">
        <v>522</v>
      </c>
      <c r="F27" s="16" t="s">
        <v>507</v>
      </c>
      <c r="G27" s="10" t="s">
        <v>45</v>
      </c>
      <c r="H27" s="17"/>
    </row>
    <row r="28" spans="1:8" ht="66" customHeight="1" x14ac:dyDescent="0.35">
      <c r="A28" s="11" t="s">
        <v>482</v>
      </c>
      <c r="B28" s="12" t="s">
        <v>527</v>
      </c>
      <c r="C28" s="12" t="s">
        <v>525</v>
      </c>
      <c r="D28" s="10" t="s">
        <v>319</v>
      </c>
      <c r="E28" s="12" t="s">
        <v>528</v>
      </c>
      <c r="F28" s="16" t="s">
        <v>507</v>
      </c>
      <c r="G28" s="10" t="s">
        <v>45</v>
      </c>
      <c r="H28" s="17"/>
    </row>
    <row r="29" spans="1:8" ht="66" customHeight="1" x14ac:dyDescent="0.35">
      <c r="A29" s="11" t="s">
        <v>530</v>
      </c>
      <c r="B29" s="12" t="s">
        <v>539</v>
      </c>
      <c r="C29" s="12" t="s">
        <v>540</v>
      </c>
      <c r="D29" s="10" t="s">
        <v>44</v>
      </c>
      <c r="E29" s="12" t="s">
        <v>537</v>
      </c>
      <c r="F29" s="16" t="s">
        <v>358</v>
      </c>
      <c r="G29" s="10" t="s">
        <v>45</v>
      </c>
      <c r="H29" s="17"/>
    </row>
    <row r="30" spans="1:8" ht="66" customHeight="1" x14ac:dyDescent="0.35">
      <c r="A30" s="11" t="s">
        <v>530</v>
      </c>
      <c r="B30" s="12" t="s">
        <v>547</v>
      </c>
      <c r="C30" s="12" t="s">
        <v>548</v>
      </c>
      <c r="D30" s="10" t="s">
        <v>44</v>
      </c>
      <c r="E30" s="12" t="s">
        <v>546</v>
      </c>
      <c r="F30" s="16" t="s">
        <v>358</v>
      </c>
      <c r="G30" s="10" t="s">
        <v>45</v>
      </c>
      <c r="H30" s="17"/>
    </row>
    <row r="31" spans="1:8" ht="66" customHeight="1" x14ac:dyDescent="0.35">
      <c r="A31" s="11" t="s">
        <v>530</v>
      </c>
      <c r="B31" s="12" t="s">
        <v>553</v>
      </c>
      <c r="C31" s="12" t="s">
        <v>551</v>
      </c>
      <c r="D31" s="10" t="s">
        <v>44</v>
      </c>
      <c r="E31" s="12" t="s">
        <v>554</v>
      </c>
      <c r="F31" s="16" t="s">
        <v>358</v>
      </c>
      <c r="G31" s="10" t="s">
        <v>45</v>
      </c>
      <c r="H31" s="17"/>
    </row>
    <row r="32" spans="1:8" ht="66" customHeight="1" x14ac:dyDescent="0.35">
      <c r="A32" s="11" t="s">
        <v>530</v>
      </c>
      <c r="B32" s="12" t="s">
        <v>559</v>
      </c>
      <c r="C32" s="12" t="s">
        <v>557</v>
      </c>
      <c r="D32" s="10" t="s">
        <v>44</v>
      </c>
      <c r="E32" s="12" t="s">
        <v>560</v>
      </c>
      <c r="F32" s="16" t="s">
        <v>358</v>
      </c>
      <c r="G32" s="10" t="s">
        <v>45</v>
      </c>
      <c r="H32" s="17"/>
    </row>
    <row r="33" spans="1:8" ht="66" customHeight="1" x14ac:dyDescent="0.35">
      <c r="A33" s="11" t="s">
        <v>30</v>
      </c>
      <c r="B33" s="12" t="s">
        <v>572</v>
      </c>
      <c r="C33" s="12" t="s">
        <v>573</v>
      </c>
      <c r="D33" s="10" t="s">
        <v>44</v>
      </c>
      <c r="E33" s="12" t="s">
        <v>568</v>
      </c>
      <c r="F33" s="16" t="s">
        <v>570</v>
      </c>
      <c r="G33" s="19" t="s">
        <v>60</v>
      </c>
      <c r="H33" s="17"/>
    </row>
    <row r="34" spans="1:8" ht="66" customHeight="1" x14ac:dyDescent="0.35">
      <c r="A34" s="11" t="s">
        <v>30</v>
      </c>
      <c r="B34" s="12" t="s">
        <v>578</v>
      </c>
      <c r="C34" s="12" t="s">
        <v>576</v>
      </c>
      <c r="D34" s="10" t="s">
        <v>44</v>
      </c>
      <c r="E34" s="12" t="s">
        <v>579</v>
      </c>
      <c r="F34" s="16" t="s">
        <v>410</v>
      </c>
      <c r="G34" s="10" t="s">
        <v>45</v>
      </c>
      <c r="H34" s="17"/>
    </row>
    <row r="35" spans="1:8" ht="66" customHeight="1" x14ac:dyDescent="0.35">
      <c r="A35" s="11" t="s">
        <v>30</v>
      </c>
      <c r="B35" s="12" t="s">
        <v>585</v>
      </c>
      <c r="C35" s="12" t="s">
        <v>583</v>
      </c>
      <c r="D35" s="10" t="s">
        <v>319</v>
      </c>
      <c r="E35" s="12" t="s">
        <v>586</v>
      </c>
      <c r="F35" s="16" t="s">
        <v>588</v>
      </c>
      <c r="G35" s="10" t="s">
        <v>45</v>
      </c>
      <c r="H35" s="17"/>
    </row>
    <row r="36" spans="1:8" ht="66" customHeight="1" x14ac:dyDescent="0.35">
      <c r="A36" s="11" t="s">
        <v>30</v>
      </c>
      <c r="B36" s="12" t="s">
        <v>593</v>
      </c>
      <c r="C36" s="12" t="s">
        <v>591</v>
      </c>
      <c r="D36" s="10" t="s">
        <v>319</v>
      </c>
      <c r="E36" s="12" t="s">
        <v>594</v>
      </c>
      <c r="F36" s="16" t="s">
        <v>456</v>
      </c>
      <c r="G36" s="10" t="s">
        <v>45</v>
      </c>
      <c r="H36" s="17"/>
    </row>
    <row r="37" spans="1:8" ht="66" customHeight="1" x14ac:dyDescent="0.35">
      <c r="A37" s="11" t="s">
        <v>30</v>
      </c>
      <c r="B37" s="12" t="s">
        <v>56</v>
      </c>
      <c r="C37" s="12" t="s">
        <v>57</v>
      </c>
      <c r="D37" s="10" t="s">
        <v>44</v>
      </c>
      <c r="E37" s="12" t="s">
        <v>58</v>
      </c>
      <c r="F37" s="16" t="s">
        <v>59</v>
      </c>
      <c r="G37" s="19" t="s">
        <v>60</v>
      </c>
      <c r="H37" s="17"/>
    </row>
    <row r="38" spans="1:8" ht="66" customHeight="1" x14ac:dyDescent="0.35">
      <c r="A38" s="11" t="s">
        <v>30</v>
      </c>
      <c r="B38" s="12" t="s">
        <v>42</v>
      </c>
      <c r="C38" s="12" t="s">
        <v>43</v>
      </c>
      <c r="D38" s="10" t="s">
        <v>44</v>
      </c>
      <c r="E38" s="12" t="s">
        <v>38</v>
      </c>
      <c r="F38" s="16" t="s">
        <v>40</v>
      </c>
      <c r="G38" s="10" t="s">
        <v>45</v>
      </c>
      <c r="H38" s="17"/>
    </row>
    <row r="39" spans="1:8" ht="66" customHeight="1" x14ac:dyDescent="0.35">
      <c r="A39" s="11" t="s">
        <v>597</v>
      </c>
      <c r="B39" s="12" t="s">
        <v>606</v>
      </c>
      <c r="C39" s="12" t="s">
        <v>607</v>
      </c>
      <c r="D39" s="10" t="s">
        <v>44</v>
      </c>
      <c r="E39" s="12" t="s">
        <v>604</v>
      </c>
      <c r="F39" s="16" t="s">
        <v>327</v>
      </c>
      <c r="G39" s="10" t="s">
        <v>45</v>
      </c>
      <c r="H39" s="17"/>
    </row>
    <row r="40" spans="1:8" ht="66" customHeight="1" x14ac:dyDescent="0.35">
      <c r="A40" s="11" t="s">
        <v>597</v>
      </c>
      <c r="B40" s="12" t="s">
        <v>615</v>
      </c>
      <c r="C40" s="12" t="s">
        <v>616</v>
      </c>
      <c r="D40" s="10" t="s">
        <v>44</v>
      </c>
      <c r="E40" s="12" t="s">
        <v>613</v>
      </c>
      <c r="F40" s="16" t="s">
        <v>456</v>
      </c>
      <c r="G40" s="10" t="s">
        <v>45</v>
      </c>
      <c r="H40" s="17"/>
    </row>
    <row r="41" spans="1:8" ht="66" customHeight="1" x14ac:dyDescent="0.35">
      <c r="A41" s="11" t="s">
        <v>597</v>
      </c>
      <c r="B41" s="12" t="s">
        <v>621</v>
      </c>
      <c r="C41" s="12" t="s">
        <v>619</v>
      </c>
      <c r="D41" s="10" t="s">
        <v>319</v>
      </c>
      <c r="E41" s="12" t="s">
        <v>622</v>
      </c>
      <c r="F41" s="16" t="s">
        <v>456</v>
      </c>
      <c r="G41" s="10" t="s">
        <v>45</v>
      </c>
      <c r="H41" s="17"/>
    </row>
    <row r="42" spans="1:8" ht="66" customHeight="1" x14ac:dyDescent="0.35">
      <c r="A42" s="11" t="s">
        <v>597</v>
      </c>
      <c r="B42" s="12" t="s">
        <v>627</v>
      </c>
      <c r="C42" s="12" t="s">
        <v>625</v>
      </c>
      <c r="D42" s="10" t="s">
        <v>319</v>
      </c>
      <c r="E42" s="12" t="s">
        <v>628</v>
      </c>
      <c r="F42" s="16" t="s">
        <v>507</v>
      </c>
      <c r="G42" s="10" t="s">
        <v>45</v>
      </c>
      <c r="H42" s="17"/>
    </row>
    <row r="43" spans="1:8" ht="66" customHeight="1" x14ac:dyDescent="0.35">
      <c r="A43" s="11" t="s">
        <v>597</v>
      </c>
      <c r="B43" s="12" t="s">
        <v>715</v>
      </c>
      <c r="C43" s="12" t="s">
        <v>713</v>
      </c>
      <c r="D43" s="10" t="s">
        <v>319</v>
      </c>
      <c r="E43" s="12" t="s">
        <v>714</v>
      </c>
      <c r="F43" s="16" t="s">
        <v>716</v>
      </c>
      <c r="G43" s="10" t="s">
        <v>45</v>
      </c>
      <c r="H43" s="17"/>
    </row>
    <row r="44" spans="1:8" ht="66" customHeight="1" x14ac:dyDescent="0.35">
      <c r="A44" s="11" t="s">
        <v>597</v>
      </c>
      <c r="B44" s="12" t="s">
        <v>637</v>
      </c>
      <c r="C44" s="12" t="s">
        <v>638</v>
      </c>
      <c r="D44" s="10" t="s">
        <v>319</v>
      </c>
      <c r="E44" s="12" t="s">
        <v>635</v>
      </c>
      <c r="F44" s="16" t="s">
        <v>327</v>
      </c>
      <c r="G44" s="10" t="s">
        <v>45</v>
      </c>
      <c r="H44" s="17"/>
    </row>
    <row r="45" spans="1:8" ht="66" customHeight="1" x14ac:dyDescent="0.35">
      <c r="A45" s="11" t="s">
        <v>191</v>
      </c>
      <c r="B45" s="12" t="s">
        <v>679</v>
      </c>
      <c r="C45" s="12" t="s">
        <v>680</v>
      </c>
      <c r="D45" s="10" t="s">
        <v>44</v>
      </c>
      <c r="E45" s="12" t="s">
        <v>678</v>
      </c>
      <c r="F45" s="16" t="s">
        <v>400</v>
      </c>
      <c r="G45" s="19" t="s">
        <v>60</v>
      </c>
      <c r="H45" s="17"/>
    </row>
    <row r="46" spans="1:8" ht="66" customHeight="1" x14ac:dyDescent="0.35">
      <c r="A46" s="11" t="s">
        <v>191</v>
      </c>
      <c r="B46" s="12" t="s">
        <v>668</v>
      </c>
      <c r="C46" s="12" t="s">
        <v>669</v>
      </c>
      <c r="D46" s="10" t="s">
        <v>44</v>
      </c>
      <c r="E46" s="12" t="s">
        <v>666</v>
      </c>
      <c r="F46" s="16" t="s">
        <v>400</v>
      </c>
      <c r="G46" s="19" t="s">
        <v>60</v>
      </c>
      <c r="H46" s="17"/>
    </row>
    <row r="47" spans="1:8" ht="66" customHeight="1" x14ac:dyDescent="0.35">
      <c r="A47" s="11" t="s">
        <v>191</v>
      </c>
      <c r="B47" s="12" t="s">
        <v>192</v>
      </c>
      <c r="C47" s="12" t="s">
        <v>193</v>
      </c>
      <c r="D47" s="10" t="s">
        <v>44</v>
      </c>
      <c r="E47" s="12" t="s">
        <v>187</v>
      </c>
      <c r="F47" s="16" t="s">
        <v>189</v>
      </c>
      <c r="G47" s="19" t="s">
        <v>60</v>
      </c>
      <c r="H47" s="17"/>
    </row>
    <row r="48" spans="1:8" ht="66" customHeight="1" x14ac:dyDescent="0.35">
      <c r="A48" s="11" t="s">
        <v>191</v>
      </c>
      <c r="B48" s="12" t="s">
        <v>702</v>
      </c>
      <c r="C48" s="12" t="s">
        <v>700</v>
      </c>
      <c r="D48" s="10" t="s">
        <v>319</v>
      </c>
      <c r="E48" s="12" t="s">
        <v>703</v>
      </c>
      <c r="F48" s="16" t="s">
        <v>456</v>
      </c>
      <c r="G48" s="10" t="s">
        <v>45</v>
      </c>
      <c r="H48" s="17"/>
    </row>
    <row r="49" spans="1:8" ht="66" customHeight="1" x14ac:dyDescent="0.35">
      <c r="A49" s="11" t="s">
        <v>191</v>
      </c>
      <c r="B49" s="12" t="s">
        <v>693</v>
      </c>
      <c r="C49" s="12" t="s">
        <v>691</v>
      </c>
      <c r="D49" s="10" t="s">
        <v>319</v>
      </c>
      <c r="E49" s="12" t="s">
        <v>694</v>
      </c>
      <c r="F49" s="16" t="s">
        <v>456</v>
      </c>
      <c r="G49" s="10" t="s">
        <v>45</v>
      </c>
      <c r="H49" s="17"/>
    </row>
    <row r="50" spans="1:8" ht="66" customHeight="1" x14ac:dyDescent="0.35">
      <c r="A50" s="11" t="s">
        <v>191</v>
      </c>
      <c r="B50" s="12" t="s">
        <v>708</v>
      </c>
      <c r="C50" s="12" t="s">
        <v>706</v>
      </c>
      <c r="D50" s="10" t="s">
        <v>319</v>
      </c>
      <c r="E50" s="12" t="s">
        <v>709</v>
      </c>
      <c r="F50" s="16" t="s">
        <v>456</v>
      </c>
      <c r="G50" s="10" t="s">
        <v>45</v>
      </c>
      <c r="H50" s="17"/>
    </row>
    <row r="51" spans="1:8" ht="66" customHeight="1" x14ac:dyDescent="0.35">
      <c r="A51" s="11" t="s">
        <v>148</v>
      </c>
      <c r="B51" s="12" t="s">
        <v>645</v>
      </c>
      <c r="C51" s="12" t="s">
        <v>643</v>
      </c>
      <c r="D51" s="10" t="s">
        <v>319</v>
      </c>
      <c r="E51" s="12" t="s">
        <v>646</v>
      </c>
      <c r="F51" s="16" t="s">
        <v>588</v>
      </c>
      <c r="G51" s="10" t="s">
        <v>45</v>
      </c>
      <c r="H51" s="17"/>
    </row>
    <row r="52" spans="1:8" ht="66" customHeight="1" x14ac:dyDescent="0.35">
      <c r="A52" s="11" t="s">
        <v>148</v>
      </c>
      <c r="B52" s="12" t="s">
        <v>729</v>
      </c>
      <c r="C52" s="12" t="s">
        <v>730</v>
      </c>
      <c r="D52" s="10" t="s">
        <v>44</v>
      </c>
      <c r="E52" s="12" t="s">
        <v>726</v>
      </c>
      <c r="F52" s="16" t="s">
        <v>728</v>
      </c>
      <c r="G52" s="10" t="s">
        <v>45</v>
      </c>
      <c r="H52" s="17"/>
    </row>
    <row r="53" spans="1:8" ht="66" customHeight="1" x14ac:dyDescent="0.35">
      <c r="A53" s="11" t="s">
        <v>148</v>
      </c>
      <c r="B53" s="12" t="s">
        <v>737</v>
      </c>
      <c r="C53" s="12" t="s">
        <v>738</v>
      </c>
      <c r="D53" s="10" t="s">
        <v>44</v>
      </c>
      <c r="E53" s="12" t="s">
        <v>736</v>
      </c>
      <c r="F53" s="16" t="s">
        <v>728</v>
      </c>
      <c r="G53" s="10" t="s">
        <v>45</v>
      </c>
      <c r="H53" s="17"/>
    </row>
    <row r="54" spans="1:8" ht="66" customHeight="1" x14ac:dyDescent="0.35">
      <c r="A54" s="11" t="s">
        <v>148</v>
      </c>
      <c r="B54" s="12" t="s">
        <v>746</v>
      </c>
      <c r="C54" s="12" t="s">
        <v>747</v>
      </c>
      <c r="D54" s="10" t="s">
        <v>44</v>
      </c>
      <c r="E54" s="12" t="s">
        <v>744</v>
      </c>
      <c r="F54" s="16" t="s">
        <v>745</v>
      </c>
      <c r="G54" s="10" t="s">
        <v>45</v>
      </c>
      <c r="H54" s="17"/>
    </row>
    <row r="55" spans="1:8" ht="66" customHeight="1" x14ac:dyDescent="0.35">
      <c r="A55" s="11" t="s">
        <v>148</v>
      </c>
      <c r="B55" s="12" t="s">
        <v>752</v>
      </c>
      <c r="C55" s="12" t="s">
        <v>750</v>
      </c>
      <c r="D55" s="10" t="s">
        <v>44</v>
      </c>
      <c r="E55" s="12" t="s">
        <v>753</v>
      </c>
      <c r="F55" s="16" t="s">
        <v>400</v>
      </c>
      <c r="G55" s="10" t="s">
        <v>45</v>
      </c>
      <c r="H55" s="17"/>
    </row>
    <row r="56" spans="1:8" ht="66" customHeight="1" x14ac:dyDescent="0.35">
      <c r="A56" s="11" t="s">
        <v>148</v>
      </c>
      <c r="B56" s="12" t="s">
        <v>149</v>
      </c>
      <c r="C56" s="12" t="s">
        <v>150</v>
      </c>
      <c r="D56" s="10" t="s">
        <v>44</v>
      </c>
      <c r="E56" s="12" t="s">
        <v>151</v>
      </c>
      <c r="F56" s="16" t="s">
        <v>152</v>
      </c>
      <c r="G56" s="10" t="s">
        <v>45</v>
      </c>
      <c r="H56" s="1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2" customWidth="1"/>
    <col min="3" max="3" width="42" customWidth="1"/>
  </cols>
  <sheetData>
    <row r="1" spans="1:8" ht="26" customHeight="1" x14ac:dyDescent="0.35">
      <c r="A1" s="9" t="s">
        <v>3</v>
      </c>
      <c r="B1" s="9" t="s">
        <v>4</v>
      </c>
      <c r="C1" s="20" t="s">
        <v>793</v>
      </c>
      <c r="D1" s="20" t="s">
        <v>794</v>
      </c>
      <c r="E1" s="20" t="s">
        <v>795</v>
      </c>
      <c r="F1" s="20" t="s">
        <v>796</v>
      </c>
      <c r="G1" s="20" t="s">
        <v>797</v>
      </c>
      <c r="H1" s="20" t="s">
        <v>798</v>
      </c>
    </row>
    <row r="2" spans="1:8" ht="66" customHeight="1" x14ac:dyDescent="0.35">
      <c r="A2" s="11" t="s">
        <v>305</v>
      </c>
      <c r="B2" s="12" t="s">
        <v>317</v>
      </c>
      <c r="C2" s="17"/>
      <c r="D2" s="17"/>
      <c r="E2" s="17"/>
      <c r="F2" s="17"/>
      <c r="G2" s="17"/>
      <c r="H2" s="17"/>
    </row>
    <row r="3" spans="1:8" ht="66" customHeight="1" x14ac:dyDescent="0.35">
      <c r="A3" s="11" t="s">
        <v>305</v>
      </c>
      <c r="B3" s="12" t="s">
        <v>328</v>
      </c>
      <c r="C3" s="21"/>
      <c r="D3" s="21"/>
      <c r="E3" s="21"/>
      <c r="F3" s="21"/>
      <c r="G3" s="21"/>
      <c r="H3" s="21"/>
    </row>
    <row r="4" spans="1:8" ht="66" customHeight="1" x14ac:dyDescent="0.35">
      <c r="A4" s="11" t="s">
        <v>305</v>
      </c>
      <c r="B4" s="12" t="s">
        <v>338</v>
      </c>
      <c r="C4" s="17"/>
      <c r="D4" s="17"/>
      <c r="E4" s="17"/>
      <c r="F4" s="17"/>
      <c r="G4" s="17"/>
      <c r="H4" s="17"/>
    </row>
    <row r="5" spans="1:8" ht="66" customHeight="1" x14ac:dyDescent="0.35">
      <c r="A5" s="11" t="s">
        <v>305</v>
      </c>
      <c r="B5" s="12" t="s">
        <v>349</v>
      </c>
      <c r="C5" s="17"/>
      <c r="D5" s="17"/>
      <c r="E5" s="17"/>
      <c r="F5" s="17"/>
      <c r="G5" s="17"/>
      <c r="H5" s="17"/>
    </row>
    <row r="6" spans="1:8" ht="66" customHeight="1" x14ac:dyDescent="0.35">
      <c r="A6" s="11" t="s">
        <v>305</v>
      </c>
      <c r="B6" s="12" t="s">
        <v>359</v>
      </c>
      <c r="C6" s="17"/>
      <c r="D6" s="17"/>
      <c r="E6" s="17"/>
      <c r="F6" s="17"/>
      <c r="G6" s="17"/>
      <c r="H6" s="17"/>
    </row>
    <row r="7" spans="1:8" ht="66" customHeight="1" x14ac:dyDescent="0.35">
      <c r="A7" s="11" t="s">
        <v>305</v>
      </c>
      <c r="B7" s="12" t="s">
        <v>658</v>
      </c>
      <c r="C7" s="17"/>
      <c r="D7" s="17"/>
      <c r="E7" s="17"/>
      <c r="F7" s="17"/>
      <c r="G7" s="17"/>
      <c r="H7" s="17"/>
    </row>
    <row r="8" spans="1:8" ht="66" customHeight="1" x14ac:dyDescent="0.35">
      <c r="A8" s="11" t="s">
        <v>305</v>
      </c>
      <c r="B8" s="12" t="s">
        <v>368</v>
      </c>
      <c r="C8" s="17"/>
      <c r="D8" s="17"/>
      <c r="E8" s="17"/>
      <c r="F8" s="17"/>
      <c r="G8" s="17"/>
      <c r="H8" s="17"/>
    </row>
    <row r="9" spans="1:8" ht="66" customHeight="1" x14ac:dyDescent="0.35">
      <c r="A9" s="11" t="s">
        <v>381</v>
      </c>
      <c r="B9" s="12" t="s">
        <v>382</v>
      </c>
      <c r="C9" s="17"/>
      <c r="D9" s="17"/>
      <c r="E9" s="17"/>
      <c r="F9" s="17"/>
      <c r="G9" s="17"/>
      <c r="H9" s="17"/>
    </row>
    <row r="10" spans="1:8" ht="66" customHeight="1" x14ac:dyDescent="0.35">
      <c r="A10" s="11" t="s">
        <v>381</v>
      </c>
      <c r="B10" s="12" t="s">
        <v>391</v>
      </c>
      <c r="C10" s="17"/>
      <c r="D10" s="17"/>
      <c r="E10" s="17"/>
      <c r="F10" s="17"/>
      <c r="G10" s="17"/>
      <c r="H10" s="17"/>
    </row>
    <row r="11" spans="1:8" ht="66" customHeight="1" x14ac:dyDescent="0.35">
      <c r="A11" s="11" t="s">
        <v>381</v>
      </c>
      <c r="B11" s="12" t="s">
        <v>401</v>
      </c>
      <c r="C11" s="17"/>
      <c r="D11" s="17"/>
      <c r="E11" s="17"/>
      <c r="F11" s="17"/>
      <c r="G11" s="17"/>
      <c r="H11" s="17"/>
    </row>
    <row r="12" spans="1:8" ht="66" customHeight="1" x14ac:dyDescent="0.35">
      <c r="A12" s="11" t="s">
        <v>381</v>
      </c>
      <c r="B12" s="12" t="s">
        <v>685</v>
      </c>
      <c r="C12" s="17"/>
      <c r="D12" s="17"/>
      <c r="E12" s="17"/>
      <c r="F12" s="17"/>
      <c r="G12" s="17"/>
      <c r="H12" s="17"/>
    </row>
    <row r="13" spans="1:8" ht="66" customHeight="1" x14ac:dyDescent="0.35">
      <c r="A13" s="11" t="s">
        <v>381</v>
      </c>
      <c r="B13" s="12" t="s">
        <v>412</v>
      </c>
      <c r="C13" s="17"/>
      <c r="D13" s="17"/>
      <c r="E13" s="17"/>
      <c r="F13" s="17"/>
      <c r="G13" s="17"/>
      <c r="H13" s="17"/>
    </row>
    <row r="14" spans="1:8" ht="66" customHeight="1" x14ac:dyDescent="0.35">
      <c r="A14" s="11" t="s">
        <v>381</v>
      </c>
      <c r="B14" s="12" t="s">
        <v>418</v>
      </c>
      <c r="C14" s="17"/>
      <c r="D14" s="17"/>
      <c r="E14" s="17"/>
      <c r="F14" s="17"/>
      <c r="G14" s="17"/>
      <c r="H14" s="17"/>
    </row>
    <row r="15" spans="1:8" ht="66" customHeight="1" x14ac:dyDescent="0.35">
      <c r="A15" s="11" t="s">
        <v>427</v>
      </c>
      <c r="B15" s="12" t="s">
        <v>424</v>
      </c>
      <c r="C15" s="17"/>
      <c r="D15" s="17"/>
      <c r="E15" s="17"/>
      <c r="F15" s="17"/>
      <c r="G15" s="17"/>
      <c r="H15" s="17"/>
    </row>
    <row r="16" spans="1:8" ht="66" customHeight="1" x14ac:dyDescent="0.35">
      <c r="A16" s="11" t="s">
        <v>427</v>
      </c>
      <c r="B16" s="12" t="s">
        <v>432</v>
      </c>
      <c r="C16" s="17"/>
      <c r="D16" s="17"/>
      <c r="E16" s="17"/>
      <c r="F16" s="17"/>
      <c r="G16" s="17"/>
      <c r="H16" s="17"/>
    </row>
    <row r="17" spans="1:8" ht="66" customHeight="1" x14ac:dyDescent="0.35">
      <c r="A17" s="11" t="s">
        <v>427</v>
      </c>
      <c r="B17" s="12" t="s">
        <v>439</v>
      </c>
      <c r="C17" s="17"/>
      <c r="D17" s="17"/>
      <c r="E17" s="17"/>
      <c r="F17" s="17"/>
      <c r="G17" s="17"/>
      <c r="H17" s="17"/>
    </row>
    <row r="18" spans="1:8" ht="66" customHeight="1" x14ac:dyDescent="0.35">
      <c r="A18" s="11" t="s">
        <v>427</v>
      </c>
      <c r="B18" s="12" t="s">
        <v>446</v>
      </c>
      <c r="C18" s="17"/>
      <c r="D18" s="17"/>
      <c r="E18" s="17"/>
      <c r="F18" s="17"/>
      <c r="G18" s="17"/>
      <c r="H18" s="17"/>
    </row>
    <row r="19" spans="1:8" ht="66" customHeight="1" x14ac:dyDescent="0.35">
      <c r="A19" s="11" t="s">
        <v>427</v>
      </c>
      <c r="B19" s="12" t="s">
        <v>457</v>
      </c>
      <c r="C19" s="17"/>
      <c r="D19" s="17"/>
      <c r="E19" s="17"/>
      <c r="F19" s="17"/>
      <c r="G19" s="17"/>
      <c r="H19" s="17"/>
    </row>
    <row r="20" spans="1:8" ht="66" customHeight="1" x14ac:dyDescent="0.35">
      <c r="A20" s="11" t="s">
        <v>427</v>
      </c>
      <c r="B20" s="12" t="s">
        <v>465</v>
      </c>
      <c r="C20" s="17"/>
      <c r="D20" s="17"/>
      <c r="E20" s="17"/>
      <c r="F20" s="17"/>
      <c r="G20" s="17"/>
      <c r="H20" s="17"/>
    </row>
    <row r="21" spans="1:8" ht="66" customHeight="1" x14ac:dyDescent="0.35">
      <c r="A21" s="11" t="s">
        <v>427</v>
      </c>
      <c r="B21" s="12" t="s">
        <v>471</v>
      </c>
      <c r="C21" s="17"/>
      <c r="D21" s="17"/>
      <c r="E21" s="17"/>
      <c r="F21" s="17"/>
      <c r="G21" s="17"/>
      <c r="H21" s="17"/>
    </row>
    <row r="22" spans="1:8" ht="66" customHeight="1" x14ac:dyDescent="0.35">
      <c r="A22" s="11" t="s">
        <v>427</v>
      </c>
      <c r="B22" s="12" t="s">
        <v>478</v>
      </c>
      <c r="C22" s="17"/>
      <c r="D22" s="17"/>
      <c r="E22" s="17"/>
      <c r="F22" s="17"/>
      <c r="G22" s="17"/>
      <c r="H22" s="17"/>
    </row>
    <row r="23" spans="1:8" ht="66" customHeight="1" x14ac:dyDescent="0.35">
      <c r="A23" s="11" t="s">
        <v>482</v>
      </c>
      <c r="B23" s="12" t="s">
        <v>491</v>
      </c>
      <c r="C23" s="17"/>
      <c r="D23" s="17"/>
      <c r="E23" s="17"/>
      <c r="F23" s="17"/>
      <c r="G23" s="17"/>
      <c r="H23" s="17"/>
    </row>
    <row r="24" spans="1:8" ht="66" customHeight="1" x14ac:dyDescent="0.35">
      <c r="A24" s="11" t="s">
        <v>482</v>
      </c>
      <c r="B24" s="12" t="s">
        <v>497</v>
      </c>
      <c r="C24" s="17"/>
      <c r="D24" s="17"/>
      <c r="E24" s="17"/>
      <c r="F24" s="17"/>
      <c r="G24" s="17"/>
      <c r="H24" s="17"/>
    </row>
    <row r="25" spans="1:8" ht="66" customHeight="1" x14ac:dyDescent="0.35">
      <c r="A25" s="11" t="s">
        <v>482</v>
      </c>
      <c r="B25" s="12" t="s">
        <v>504</v>
      </c>
      <c r="C25" s="17"/>
      <c r="D25" s="17"/>
      <c r="E25" s="17"/>
      <c r="F25" s="17"/>
      <c r="G25" s="17"/>
      <c r="H25" s="17"/>
    </row>
    <row r="26" spans="1:8" ht="66" customHeight="1" x14ac:dyDescent="0.35">
      <c r="A26" s="11" t="s">
        <v>482</v>
      </c>
      <c r="B26" s="12" t="s">
        <v>515</v>
      </c>
      <c r="C26" s="17"/>
      <c r="D26" s="17"/>
      <c r="E26" s="17"/>
      <c r="F26" s="17"/>
      <c r="G26" s="17"/>
      <c r="H26" s="17"/>
    </row>
    <row r="27" spans="1:8" ht="66" customHeight="1" x14ac:dyDescent="0.35">
      <c r="A27" s="11" t="s">
        <v>482</v>
      </c>
      <c r="B27" s="12" t="s">
        <v>521</v>
      </c>
      <c r="C27" s="17"/>
      <c r="D27" s="17"/>
      <c r="E27" s="17"/>
      <c r="F27" s="17"/>
      <c r="G27" s="17"/>
      <c r="H27" s="17"/>
    </row>
    <row r="28" spans="1:8" ht="66" customHeight="1" x14ac:dyDescent="0.35">
      <c r="A28" s="11" t="s">
        <v>482</v>
      </c>
      <c r="B28" s="12" t="s">
        <v>527</v>
      </c>
      <c r="C28" s="17"/>
      <c r="D28" s="17"/>
      <c r="E28" s="17"/>
      <c r="F28" s="17"/>
      <c r="G28" s="17"/>
      <c r="H28" s="17"/>
    </row>
    <row r="29" spans="1:8" ht="66" customHeight="1" x14ac:dyDescent="0.35">
      <c r="A29" s="11" t="s">
        <v>530</v>
      </c>
      <c r="B29" s="12" t="s">
        <v>539</v>
      </c>
      <c r="C29" s="17"/>
      <c r="D29" s="17"/>
      <c r="E29" s="17"/>
      <c r="F29" s="17"/>
      <c r="G29" s="17"/>
      <c r="H29" s="17"/>
    </row>
    <row r="30" spans="1:8" ht="66" customHeight="1" x14ac:dyDescent="0.35">
      <c r="A30" s="11" t="s">
        <v>530</v>
      </c>
      <c r="B30" s="12" t="s">
        <v>547</v>
      </c>
      <c r="C30" s="17"/>
      <c r="D30" s="17"/>
      <c r="E30" s="17"/>
      <c r="F30" s="17"/>
      <c r="G30" s="17"/>
      <c r="H30" s="17"/>
    </row>
    <row r="31" spans="1:8" ht="66" customHeight="1" x14ac:dyDescent="0.35">
      <c r="A31" s="11" t="s">
        <v>530</v>
      </c>
      <c r="B31" s="12" t="s">
        <v>553</v>
      </c>
      <c r="C31" s="17"/>
      <c r="D31" s="17"/>
      <c r="E31" s="17"/>
      <c r="F31" s="17"/>
      <c r="G31" s="17"/>
      <c r="H31" s="17"/>
    </row>
    <row r="32" spans="1:8" ht="66" customHeight="1" x14ac:dyDescent="0.35">
      <c r="A32" s="11" t="s">
        <v>530</v>
      </c>
      <c r="B32" s="12" t="s">
        <v>559</v>
      </c>
      <c r="C32" s="17"/>
      <c r="D32" s="17"/>
      <c r="E32" s="17"/>
      <c r="F32" s="17"/>
      <c r="G32" s="17"/>
      <c r="H32" s="17"/>
    </row>
    <row r="33" spans="1:8" ht="66" customHeight="1" x14ac:dyDescent="0.35">
      <c r="A33" s="11" t="s">
        <v>30</v>
      </c>
      <c r="B33" s="12" t="s">
        <v>572</v>
      </c>
      <c r="C33" s="17"/>
      <c r="D33" s="17"/>
      <c r="E33" s="17"/>
      <c r="F33" s="17"/>
      <c r="G33" s="17"/>
      <c r="H33" s="17"/>
    </row>
    <row r="34" spans="1:8" ht="66" customHeight="1" x14ac:dyDescent="0.35">
      <c r="A34" s="11" t="s">
        <v>30</v>
      </c>
      <c r="B34" s="12" t="s">
        <v>578</v>
      </c>
      <c r="C34" s="17"/>
      <c r="D34" s="17"/>
      <c r="E34" s="17"/>
      <c r="F34" s="17"/>
      <c r="G34" s="17"/>
      <c r="H34" s="17"/>
    </row>
    <row r="35" spans="1:8" ht="66" customHeight="1" x14ac:dyDescent="0.35">
      <c r="A35" s="11" t="s">
        <v>30</v>
      </c>
      <c r="B35" s="12" t="s">
        <v>585</v>
      </c>
      <c r="C35" s="17"/>
      <c r="D35" s="17"/>
      <c r="E35" s="17"/>
      <c r="F35" s="17"/>
      <c r="G35" s="17"/>
      <c r="H35" s="17"/>
    </row>
    <row r="36" spans="1:8" ht="66" customHeight="1" x14ac:dyDescent="0.35">
      <c r="A36" s="11" t="s">
        <v>30</v>
      </c>
      <c r="B36" s="12" t="s">
        <v>593</v>
      </c>
      <c r="C36" s="17"/>
      <c r="D36" s="17"/>
      <c r="E36" s="17"/>
      <c r="F36" s="17"/>
      <c r="G36" s="17"/>
      <c r="H36" s="17"/>
    </row>
    <row r="37" spans="1:8" ht="66" customHeight="1" x14ac:dyDescent="0.35">
      <c r="A37" s="11" t="s">
        <v>30</v>
      </c>
      <c r="B37" s="12" t="s">
        <v>56</v>
      </c>
      <c r="C37" s="17"/>
      <c r="D37" s="17"/>
      <c r="E37" s="17"/>
      <c r="F37" s="17"/>
      <c r="G37" s="17"/>
      <c r="H37" s="17"/>
    </row>
    <row r="38" spans="1:8" ht="66" customHeight="1" x14ac:dyDescent="0.35">
      <c r="A38" s="11" t="s">
        <v>30</v>
      </c>
      <c r="B38" s="12" t="s">
        <v>42</v>
      </c>
      <c r="C38" s="17"/>
      <c r="D38" s="17"/>
      <c r="E38" s="17"/>
      <c r="F38" s="17"/>
      <c r="G38" s="17"/>
      <c r="H38" s="17"/>
    </row>
    <row r="39" spans="1:8" ht="66" customHeight="1" x14ac:dyDescent="0.35">
      <c r="A39" s="11" t="s">
        <v>597</v>
      </c>
      <c r="B39" s="12" t="s">
        <v>606</v>
      </c>
      <c r="C39" s="17"/>
      <c r="D39" s="17"/>
      <c r="E39" s="17"/>
      <c r="F39" s="17"/>
      <c r="G39" s="17"/>
      <c r="H39" s="17"/>
    </row>
    <row r="40" spans="1:8" ht="66" customHeight="1" x14ac:dyDescent="0.35">
      <c r="A40" s="11" t="s">
        <v>597</v>
      </c>
      <c r="B40" s="12" t="s">
        <v>615</v>
      </c>
      <c r="C40" s="17"/>
      <c r="D40" s="17"/>
      <c r="E40" s="17"/>
      <c r="F40" s="17"/>
      <c r="G40" s="17"/>
      <c r="H40" s="17"/>
    </row>
    <row r="41" spans="1:8" ht="66" customHeight="1" x14ac:dyDescent="0.35">
      <c r="A41" s="11" t="s">
        <v>597</v>
      </c>
      <c r="B41" s="12" t="s">
        <v>621</v>
      </c>
      <c r="C41" s="17"/>
      <c r="D41" s="17"/>
      <c r="E41" s="17"/>
      <c r="F41" s="17"/>
      <c r="G41" s="17"/>
      <c r="H41" s="17"/>
    </row>
    <row r="42" spans="1:8" ht="66" customHeight="1" x14ac:dyDescent="0.35">
      <c r="A42" s="11" t="s">
        <v>597</v>
      </c>
      <c r="B42" s="12" t="s">
        <v>627</v>
      </c>
      <c r="C42" s="17"/>
      <c r="D42" s="17"/>
      <c r="E42" s="17"/>
      <c r="F42" s="17"/>
      <c r="G42" s="17"/>
      <c r="H42" s="17"/>
    </row>
    <row r="43" spans="1:8" ht="66" customHeight="1" x14ac:dyDescent="0.35">
      <c r="A43" s="11" t="s">
        <v>597</v>
      </c>
      <c r="B43" s="12" t="s">
        <v>715</v>
      </c>
      <c r="C43" s="17"/>
      <c r="D43" s="17"/>
      <c r="E43" s="17"/>
      <c r="F43" s="17"/>
      <c r="G43" s="17"/>
      <c r="H43" s="17"/>
    </row>
    <row r="44" spans="1:8" ht="66" customHeight="1" x14ac:dyDescent="0.35">
      <c r="A44" s="11" t="s">
        <v>597</v>
      </c>
      <c r="B44" s="12" t="s">
        <v>637</v>
      </c>
      <c r="C44" s="17"/>
      <c r="D44" s="17"/>
      <c r="E44" s="17"/>
      <c r="F44" s="17"/>
      <c r="G44" s="17"/>
      <c r="H44" s="17"/>
    </row>
    <row r="45" spans="1:8" ht="66" customHeight="1" x14ac:dyDescent="0.35">
      <c r="A45" s="11" t="s">
        <v>191</v>
      </c>
      <c r="B45" s="12" t="s">
        <v>679</v>
      </c>
      <c r="C45" s="17"/>
      <c r="D45" s="17"/>
      <c r="E45" s="17"/>
      <c r="F45" s="17"/>
      <c r="G45" s="17"/>
      <c r="H45" s="17"/>
    </row>
    <row r="46" spans="1:8" ht="66" customHeight="1" x14ac:dyDescent="0.35">
      <c r="A46" s="11" t="s">
        <v>191</v>
      </c>
      <c r="B46" s="12" t="s">
        <v>668</v>
      </c>
      <c r="C46" s="17"/>
      <c r="D46" s="17"/>
      <c r="E46" s="17"/>
      <c r="F46" s="17"/>
      <c r="G46" s="17"/>
      <c r="H46" s="17"/>
    </row>
    <row r="47" spans="1:8" ht="66" customHeight="1" x14ac:dyDescent="0.35">
      <c r="A47" s="11" t="s">
        <v>191</v>
      </c>
      <c r="B47" s="12" t="s">
        <v>192</v>
      </c>
      <c r="C47" s="17"/>
      <c r="D47" s="17"/>
      <c r="E47" s="17"/>
      <c r="F47" s="17"/>
      <c r="G47" s="17"/>
      <c r="H47" s="17"/>
    </row>
    <row r="48" spans="1:8" ht="66" customHeight="1" x14ac:dyDescent="0.35">
      <c r="A48" s="11" t="s">
        <v>191</v>
      </c>
      <c r="B48" s="12" t="s">
        <v>702</v>
      </c>
      <c r="C48" s="17"/>
      <c r="D48" s="17"/>
      <c r="E48" s="17"/>
      <c r="F48" s="17"/>
      <c r="G48" s="17"/>
      <c r="H48" s="17"/>
    </row>
    <row r="49" spans="1:8" ht="66" customHeight="1" x14ac:dyDescent="0.35">
      <c r="A49" s="11" t="s">
        <v>191</v>
      </c>
      <c r="B49" s="12" t="s">
        <v>693</v>
      </c>
      <c r="C49" s="17"/>
      <c r="D49" s="17"/>
      <c r="E49" s="17"/>
      <c r="F49" s="17"/>
      <c r="G49" s="17"/>
      <c r="H49" s="17"/>
    </row>
    <row r="50" spans="1:8" ht="66" customHeight="1" x14ac:dyDescent="0.35">
      <c r="A50" s="11" t="s">
        <v>191</v>
      </c>
      <c r="B50" s="12" t="s">
        <v>708</v>
      </c>
      <c r="C50" s="17"/>
      <c r="D50" s="17"/>
      <c r="E50" s="17"/>
      <c r="F50" s="17"/>
      <c r="G50" s="17"/>
      <c r="H50" s="17"/>
    </row>
    <row r="51" spans="1:8" ht="66" customHeight="1" x14ac:dyDescent="0.35">
      <c r="A51" s="11" t="s">
        <v>148</v>
      </c>
      <c r="B51" s="12" t="s">
        <v>645</v>
      </c>
      <c r="C51" s="17"/>
      <c r="D51" s="17"/>
      <c r="E51" s="17"/>
      <c r="F51" s="17"/>
      <c r="G51" s="17"/>
      <c r="H51" s="17"/>
    </row>
    <row r="52" spans="1:8" ht="66" customHeight="1" x14ac:dyDescent="0.35">
      <c r="A52" s="11" t="s">
        <v>148</v>
      </c>
      <c r="B52" s="12" t="s">
        <v>729</v>
      </c>
      <c r="C52" s="17"/>
      <c r="D52" s="17"/>
      <c r="E52" s="17"/>
      <c r="F52" s="17"/>
      <c r="G52" s="17"/>
      <c r="H52" s="17"/>
    </row>
    <row r="53" spans="1:8" ht="66" customHeight="1" x14ac:dyDescent="0.35">
      <c r="A53" s="11" t="s">
        <v>148</v>
      </c>
      <c r="B53" s="12" t="s">
        <v>737</v>
      </c>
      <c r="C53" s="17"/>
      <c r="D53" s="17"/>
      <c r="E53" s="17"/>
      <c r="F53" s="17"/>
      <c r="G53" s="17"/>
      <c r="H53" s="17"/>
    </row>
    <row r="54" spans="1:8" ht="66" customHeight="1" x14ac:dyDescent="0.35">
      <c r="A54" s="11" t="s">
        <v>148</v>
      </c>
      <c r="B54" s="12" t="s">
        <v>746</v>
      </c>
      <c r="C54" s="17"/>
      <c r="D54" s="17"/>
      <c r="E54" s="17"/>
      <c r="F54" s="17"/>
      <c r="G54" s="17"/>
      <c r="H54" s="17"/>
    </row>
    <row r="55" spans="1:8" ht="66" customHeight="1" x14ac:dyDescent="0.35">
      <c r="A55" s="11" t="s">
        <v>148</v>
      </c>
      <c r="B55" s="12" t="s">
        <v>752</v>
      </c>
      <c r="C55" s="17"/>
      <c r="D55" s="17"/>
      <c r="E55" s="17"/>
      <c r="F55" s="17"/>
      <c r="G55" s="17"/>
      <c r="H55" s="17"/>
    </row>
    <row r="56" spans="1:8" ht="66" customHeight="1" x14ac:dyDescent="0.35">
      <c r="A56" s="11" t="s">
        <v>148</v>
      </c>
      <c r="B56" s="12" t="s">
        <v>149</v>
      </c>
      <c r="C56" s="17"/>
      <c r="D56" s="17"/>
      <c r="E56" s="17"/>
      <c r="F56" s="17"/>
      <c r="G56" s="17"/>
      <c r="H56" s="17"/>
    </row>
  </sheetData>
  <autoFilter ref="A1:H56" xr:uid="{00000000-0001-0000-08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Etapa 1</vt:lpstr>
      <vt:lpstr>Etapa 2</vt:lpstr>
      <vt:lpstr>Etapa 3</vt:lpstr>
      <vt:lpstr>Síntese</vt:lpstr>
      <vt:lpstr>Rastreabilidade 20260624</vt:lpstr>
      <vt:lpstr>Origem - Dimensões</vt:lpstr>
      <vt:lpstr>Origem - Critérios</vt:lpstr>
      <vt:lpstr>Origem - Matriz 20260624</vt:lpstr>
      <vt:lpstr>Origem - Matriz 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Estrutura completa de hierarquização PLI-SP com matriz 20260624 integrada</dc:title>
  <dc:subject>Fases 1, 2 e 3 enriquecidas com critérios, premissas e rastreabilidade da matriz 20260624</dc:subject>
  <dc:creator>SICARD</dc:creator>
  <cp:lastModifiedBy>VINICIUS DO PRADO CAPANEMA</cp:lastModifiedBy>
  <dcterms:created xsi:type="dcterms:W3CDTF">2026-07-01T23:56:38Z</dcterms:created>
  <dcterms:modified xsi:type="dcterms:W3CDTF">2026-07-16T00:31:31Z</dcterms:modified>
</cp:coreProperties>
</file>