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POSITORIOS\sistema_apoio_a_tomada_de_decisao_web\data\"/>
    </mc:Choice>
  </mc:AlternateContent>
  <xr:revisionPtr revIDLastSave="0" documentId="13_ncr:1_{28EC5512-7C9C-4851-B60C-6F20384E09A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Dimensões de Critérios" sheetId="1" r:id="rId1"/>
    <sheet name="Critérios" sheetId="2" r:id="rId2"/>
    <sheet name="Matriz de Critérios e Premissas" sheetId="3" r:id="rId3"/>
    <sheet name="Matriz Projet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A13" i="2" s="1"/>
  <c r="A14" i="2" s="1"/>
  <c r="A15" i="2" s="1"/>
  <c r="A16" i="2" s="1"/>
  <c r="A17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3" i="2"/>
  <c r="A4" i="2" s="1"/>
  <c r="A5" i="2" s="1"/>
  <c r="A6" i="2" s="1"/>
  <c r="A7" i="2" s="1"/>
  <c r="A8" i="2" s="1"/>
  <c r="A10" i="2" s="1"/>
  <c r="A11" i="2" s="1"/>
</calcChain>
</file>

<file path=xl/sharedStrings.xml><?xml version="1.0" encoding="utf-8"?>
<sst xmlns="http://schemas.openxmlformats.org/spreadsheetml/2006/main" count="714" uniqueCount="234">
  <si>
    <t>#</t>
  </si>
  <si>
    <t>Dimensão</t>
  </si>
  <si>
    <t>Justificativa (com referência)</t>
  </si>
  <si>
    <t>Técnica</t>
  </si>
  <si>
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</si>
  <si>
    <t>Financeiro</t>
  </si>
  <si>
    <t>Econômica</t>
  </si>
  <si>
    <t>Social</t>
  </si>
  <si>
    <t>Segurança</t>
  </si>
  <si>
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</si>
  <si>
    <t>Ambiental</t>
  </si>
  <si>
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</si>
  <si>
    <t>Territorial</t>
  </si>
  <si>
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</si>
  <si>
    <t>Institucional</t>
  </si>
  <si>
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</si>
  <si>
    <t>Risco</t>
  </si>
  <si>
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</si>
  <si>
    <t>Critério</t>
  </si>
  <si>
    <t>VDM — Volume Diário Médio</t>
  </si>
  <si>
    <t>Nível de Serviço (NS) / Saturação</t>
  </si>
  <si>
    <t>Congestionamento real ("tempo lento")</t>
  </si>
  <si>
    <t>Estado de conservação do pavimento</t>
  </si>
  <si>
    <t>Deficiência geométrica (rampas, alças e raios)</t>
  </si>
  <si>
    <t>Prontidão / maturidade do projeto</t>
  </si>
  <si>
    <t>Tráfego sazonal (fins de semana e feriados)</t>
  </si>
  <si>
    <t>Capex (custo de investimento)</t>
  </si>
  <si>
    <t>Opex (operação e manutenção)</t>
  </si>
  <si>
    <t>Relação benefício/custo</t>
  </si>
  <si>
    <t>Potencial de financiamento privado / concessão</t>
  </si>
  <si>
    <t>Custos logísticos diferenciados (porto/corredor)</t>
  </si>
  <si>
    <t>Benefício social na priorização</t>
  </si>
  <si>
    <t>Empregos e produção envolvidos</t>
  </si>
  <si>
    <t>Competitividade da produção paulista</t>
  </si>
  <si>
    <t>Redução dos tempos de viagem</t>
  </si>
  <si>
    <t>Indução de produção e emprego regional</t>
  </si>
  <si>
    <t>Atendimento a cargas sem alternativa eficiente</t>
  </si>
  <si>
    <t>Suporte a cadeias estratégicas (Pré-Sal, agro, sucroenergético)</t>
  </si>
  <si>
    <t>Participação da hidrovia na matriz de transporte</t>
  </si>
  <si>
    <t>Desenvolvimento ferroviário estadual</t>
  </si>
  <si>
    <t>Redução de desigualdades regionais</t>
  </si>
  <si>
    <t>População beneficiada</t>
  </si>
  <si>
    <t>Equidade no acesso ao transporte</t>
  </si>
  <si>
    <t>Acesso a serviços essenciais (saúde e educação)</t>
  </si>
  <si>
    <t>Acessibilidade a polos (portos e aeroportos)</t>
  </si>
  <si>
    <t>Atendimento a comunidades isoladas</t>
  </si>
  <si>
    <t>Acidentes com vítimas (gravidade)</t>
  </si>
  <si>
    <t>Acidentes com usuários vulneráveis</t>
  </si>
  <si>
    <t>Transporte de cargas perigosas</t>
  </si>
  <si>
    <t>Concentração de pontos críticos ("black spots")</t>
  </si>
  <si>
    <t>Redução de emissões de gases de efeito estufa (GEE)</t>
  </si>
  <si>
    <t>Redução de poluentes locais</t>
  </si>
  <si>
    <t>Eficiência energética</t>
  </si>
  <si>
    <t>Otimização da matriz modal</t>
  </si>
  <si>
    <t>Impacto sobre áreas sensíveis ou protegidas</t>
  </si>
  <si>
    <t>Complexidade do licenciamento ambiental</t>
  </si>
  <si>
    <t>Conflito com o tráfego urbano e conurbações</t>
  </si>
  <si>
    <t>Conflito com o tráfego urbano portuário</t>
  </si>
  <si>
    <t>Integração intermodal</t>
  </si>
  <si>
    <t>Conexão inter-regional e vazios logísticos</t>
  </si>
  <si>
    <t>Aderência aos planos diretores municipais</t>
  </si>
  <si>
    <t>Polos atratores e geradores de tráfego</t>
  </si>
  <si>
    <t>Nível de complexidade</t>
  </si>
  <si>
    <t>Prazo para implantação</t>
  </si>
  <si>
    <t>Pendências jurídicas e jurisdicionais</t>
  </si>
  <si>
    <t>Alinhamento aos planos (PPA, PEF, PAN, PNLT)</t>
  </si>
  <si>
    <t>Consenso e apoio institucional dos atores</t>
  </si>
  <si>
    <t>Demanda social e contribuições recebidas</t>
  </si>
  <si>
    <t>Resiliência climática (Blue Spot)</t>
  </si>
  <si>
    <t>Risco de demanda (incerteza de projeção)</t>
  </si>
  <si>
    <t>Risco de execução (atrasos e sobrecustos)</t>
  </si>
  <si>
    <t>Risco de desapropriação e interferências</t>
  </si>
  <si>
    <t>Dependência de pré-requisitos (interdependência)</t>
  </si>
  <si>
    <t>Risco socioambiental (comunidades tradicionais)</t>
  </si>
  <si>
    <t>Premissa</t>
  </si>
  <si>
    <t>Relação</t>
  </si>
  <si>
    <t>Métricas</t>
  </si>
  <si>
    <t>Fonte</t>
  </si>
  <si>
    <t>Mandatório</t>
  </si>
  <si>
    <t>O volume diário médio mede a demanda de tráfego já instalada no trecho. Quanto maior o VDM, maior a saturação e a pressão por intervenção, o que indica projetos que atendem a um número expressivo de usuários e geram benefício imediato.</t>
  </si>
  <si>
    <t>↑ Positiva</t>
  </si>
  <si>
    <t>veículos/dia (VDM); modelo gravitacional</t>
  </si>
  <si>
    <t>https://www.gov.uk/guidance/transport-analysis-guidance-tag</t>
  </si>
  <si>
    <t>Não</t>
  </si>
  <si>
    <t>O nível de serviço traduz a relação entre a demanda e a capacidade da via. Trechos que operam em níveis E ou F encontram-se congestionados ou sobre-saturados e exigem intervenção prioritária para restabelecer a fluidez e a segurança.</t>
  </si>
  <si>
    <t>↓ Negativa</t>
  </si>
  <si>
    <t>NS de A a F; relação V/C no ano base e no futuro</t>
  </si>
  <si>
    <t>https://www.trb.org/Main/Blurbs/175169.aspx</t>
  </si>
  <si>
    <t>A lentidão observada em plataformas de mapeamento em tempo real revela gargalos de capacidade que nem sempre aparecem nas contagens oficiais. Quanto maior o tempo adicional em relação ao fluxo livre, mais crítico é o trecho.</t>
  </si>
  <si>
    <t>minutos adicionais em relação ao fluxo livre (Google API)</t>
  </si>
  <si>
    <t>A condição do pavimento afeta diretamente o custo operacional dos veículos, a segurança e a vida útil da via. Pavimentos degradados elevam os custos de manutenção e os acidentes, o que justifica priorizar a restauração.</t>
  </si>
  <si>
    <t>IRI/PCI; idade do pavimento</t>
  </si>
  <si>
    <t>https://documents.worldbank.org/en/publication/documents-reports/documentdetail/793271468171847482</t>
  </si>
  <si>
    <t>Rampas acentuadas, alças mal dimensionadas e raios de curva inadequados reduzem a capacidade e elevam o risco de acidentes. Corrigir essas deficiências geométricas melhora, ao mesmo tempo, a fluidez e a segurança.</t>
  </si>
  <si>
    <t>% de inclinação; raio de curva (m); velocidade (km/h)</t>
  </si>
  <si>
    <t>https://irap.org/rap-tools/infrastructure-ratings/star-ratings/</t>
  </si>
  <si>
    <t>Projetos com estudos e projeto executivo mais avançados podem ser licitados e entregues mais cedo, o que antecipa os benefícios à sociedade e reduz o risco de atraso na implantação.</t>
  </si>
  <si>
    <t>escala: ideia, estudo, projeto básico, projeto executivo</t>
  </si>
  <si>
    <t>https://www.gov.uk/government/publications/the-green-book-appraisal-and-evaluation-in-central-government</t>
  </si>
  <si>
    <t>Rodovias turísticas e de escoamento de safra sofrem picos sazonais que sobrecarregam a capacidade em fins de semana, feriados e épocas de colheita. A relação entre o VDM sazonal e o VDM médio dimensiona essa pressão adicional.</t>
  </si>
  <si>
    <t>razão entre VDM sazonal e VDM médio</t>
  </si>
  <si>
    <t>O custo de investimento determina o volume de recursos públicos imobilizados. Projetos com menor Capex para um benefício equivalente liberam orçamento para mais intervenções e ampliam o alcance da carteira.</t>
  </si>
  <si>
    <t>R$ (custo total de investimento)</t>
  </si>
  <si>
    <t>https://www.transportation.gov/mission/office-secretary/office-policy/transportation-policy/benefit-cost-analysis-guidance</t>
  </si>
  <si>
    <t>Os custos de operação e manutenção comprometem o orçamento ao longo de toda a vida útil do ativo. Projetos com menor Opex são financeiramente mais sustentáveis no longo prazo.</t>
  </si>
  <si>
    <t>R$/ano</t>
  </si>
  <si>
    <t>A relação benefício/custo, o valor presente líquido (VPL) e a taxa interna de retorno (TIR) sintetizam o retorno por real investido. Quanto maior o retorno, maior a eficiência da aplicação dos recursos públicos.</t>
  </si>
  <si>
    <t>B/C; VPL; TIR</t>
  </si>
  <si>
    <t>Projetos com potencial de concessão ou de parceria público-privada permitem alavancar capital privado, o que preserva o caixa do Estado e amplia a capacidade de investimento.</t>
  </si>
  <si>
    <t>% de alavancagem por PPP/concessão</t>
  </si>
  <si>
    <t>https://ppp.worldbank.org/sites/default/files/2024-08/PPP%20Reference%20Guide%20Version%203.pdf</t>
  </si>
  <si>
    <t>Diferenciais de custo logístico entre corredores e portos — por exemplo, o sobrecusto por tonelada de soja escoada por Santos — afetam a competitividade. Reduzir esses custos é critério relevante de priorização.</t>
  </si>
  <si>
    <t>US$/tonelada (ex.: +US$ 5/t de soja por Santos)</t>
  </si>
  <si>
    <t>https://trimis.ec.europa.eu/project/developing-harmonised-european-approaches-transport-costing-and-project-assessment</t>
  </si>
  <si>
    <t>Além do retorno financeiro privado, deve-se considerar o valor presente líquido social, que incorpora externalidades positivas e negativas e alinha a seleção ao maior benefício agregado para a sociedade.</t>
  </si>
  <si>
    <t>VPL social; B/C social</t>
  </si>
  <si>
    <t>Projetos que servem a uma base produtiva maior, medida em empregos e em valor de produção, geram impacto econômico regional mais expressivo e devem ter prioridade na carteira.</t>
  </si>
  <si>
    <t>número de empregos; R$/ano de produção</t>
  </si>
  <si>
    <t>A redução do custo logístico aumenta a competitividade da produção paulista nos mercados interno e externo, o que ajuda a manter e a ampliar a participação de mercado do Estado.</t>
  </si>
  <si>
    <t>participação de mercado; custo logístico total</t>
  </si>
  <si>
    <t>A economia de tempo de viagem de pessoas e cargas converte-se diretamente em ganho de produtividade e em redução de custos, sendo um dos principais benefícios mensuráveis dos projetos de transporte.</t>
  </si>
  <si>
    <t>min/km; tempo total origem-destino</t>
  </si>
  <si>
    <t>Infraestrutura nova pode induzir o surgimento de produção e de emprego em regiões-alvo, atuando como vetor de desenvolvimento e de desconcentração econômica do Estado.</t>
  </si>
  <si>
    <t>empregos e PIB induzidos por região</t>
  </si>
  <si>
    <t>Há cargas hoje sem alternativa de transporte eficiente, presas a modais inadequados. Destravar essa demanda reprimida gera ganho econômico expressivo e amplia a eficiência da rede.</t>
  </si>
  <si>
    <t>toneladas/ano de carga atendida</t>
  </si>
  <si>
    <t>https://trid.trb.org/view/1334470</t>
  </si>
  <si>
    <t>Cadeias-chave do Estado — Pré-Sal, agronegócio e sucroenergético — dependem de logística adequada. Viabilizar o transporte dessas cadeias fortalece setores estratégicos da economia paulista.</t>
  </si>
  <si>
    <t>toneladas/ano movimentadas das cadeias-alvo</t>
  </si>
  <si>
    <t>Ampliar a participação da hidrovia Tietê-Paraná na matriz de transporte reduz custos e emissões, ao aproveitar um modal de alta eficiência ainda subutilizado no Estado.</t>
  </si>
  <si>
    <t>% de TKM hidroviário</t>
  </si>
  <si>
    <t>Viabilizar ferrovias e short lines reduz a ociosidade da malha existente e desloca carga do modal rodoviário para um modal mais eficiente em longas distâncias.</t>
  </si>
  <si>
    <t>km de malha ativa; TKM ferroviário</t>
  </si>
  <si>
    <t>Direcionar o investimento preferencialmente a regiões menos desenvolvidas reduz as desigualdades territoriais. É critério obrigatório por orientação do PPT (slide 3) e da política de desenvolvimento regional.</t>
  </si>
  <si>
    <t>IDH regional; PIB per capita regional</t>
  </si>
  <si>
    <t>Sim</t>
  </si>
  <si>
    <t>Quanto maior a população na área de influência do projeto, maior o retorno social do investimento, pois um número maior de pessoas usufrui da melhoria.</t>
  </si>
  <si>
    <t>habitantes na área de influência</t>
  </si>
  <si>
    <t>Projetos que ampliam o acesso ao transporte para populações hoje subatendidas promovem equidade e inclusão, ao reduzir barreiras de mobilidade.</t>
  </si>
  <si>
    <t>% da população atendida por serviço público</t>
  </si>
  <si>
    <t>https://research.utwente.nl/en/publications/accessibility-evaluation-of-land-use-and-transport-strategies-rev</t>
  </si>
  <si>
    <t>Conectar a população a unidades básicas de saúde, hospitais e escolas é função social essencial do transporte. Projetos que melhoram esse acesso têm alto valor social.</t>
  </si>
  <si>
    <t>população com acesso a serviço essencial via projeto</t>
  </si>
  <si>
    <t>Melhorar o acesso terrestre a polos logísticos — portos de Santos e de São Sebastião e Aeroporto de Viracopos — amplia a eficiência da cadeia e o retorno dos investimentos já realizados nesses polos.</t>
  </si>
  <si>
    <t>tempo médio de acesso; NS do acesso</t>
  </si>
  <si>
    <t>Conectar comunidades hoje isoladas reduz o isolamento territorial e amplia o acesso dessas populações a oportunidades, mercados e serviços públicos.</t>
  </si>
  <si>
    <t>número de comunidades conectadas</t>
  </si>
  <si>
    <t>A redução de mortes e de feridos graves é prioridade de saúde pública. Trechos com maior número de óbitos e de feridos graves por quilômetro devem ser tratados prioritariamente.</t>
  </si>
  <si>
    <t>óbitos e feridos graves por km (InfoSiga)</t>
  </si>
  <si>
    <t>Pedestres, ciclistas e motociclistas são os usuários mais expostos da via. Projetos que reduzem os acidentes com esses grupos têm alto impacto na segurança viária.</t>
  </si>
  <si>
    <t>ocorrências/ano com usuários vulneráveis (InfoSiga)</t>
  </si>
  <si>
    <t>O transporte de produtos perigosos exige mitigação de risco antes, durante e após eventuais acidentes, dada a gravidade potencial de vazamentos, incêndios e explosões.</t>
  </si>
  <si>
    <t>ocorrências/ano; severidade</t>
  </si>
  <si>
    <t>Trechos com concentração de acidentes (pontos críticos) apresentam alto retorno em vidas salvas por real investido e justificam intervenção prioritária.</t>
  </si>
  <si>
    <t>densidade de acidentes por km</t>
  </si>
  <si>
    <t>A redução das emissões de gases de efeito estufa é diretriz da Política Estadual de Mudanças Climáticas (Lei 13.798/2009). É critério obrigatório e mensurável em toneladas de CO₂ equivalente evitadas.</t>
  </si>
  <si>
    <t>tCO₂eq/ano evitadas</t>
  </si>
  <si>
    <t>https://www.al.sp.gov.br/repositorio/legislacao/lei/2009/lei-13798-09.11.2009.html</t>
  </si>
  <si>
    <t>A redução de poluentes locais, como óxidos de nitrogênio e material particulado, melhora a qualidade do ar e a saúde pública nas áreas atravessadas pelo projeto.</t>
  </si>
  <si>
    <t>g de NOx/km; material particulado</t>
  </si>
  <si>
    <t>Projetos que reduzem o consumo de energia por tonelada-quilômetro transportada diminuem custos e emissões, o que contribui para a sustentabilidade do sistema de transporte.</t>
  </si>
  <si>
    <t>MJ/(t.km) evitados</t>
  </si>
  <si>
    <t>https://www.ipcc.ch/</t>
  </si>
  <si>
    <t>Estimular a migração de carga do modal rodoviário para os modais ferroviário e hidroviário, mais sustentáveis, é objetivo ambiental central do PLI-SP 2050.</t>
  </si>
  <si>
    <t>% de migração rodoviário para ferroviário/hidroviário</t>
  </si>
  <si>
    <t>Projetos que afetam áreas de preservação permanente, unidades de conservação ou a zona costeira geram passivo ambiental. Evitar ou minimizar esse impacto é critério obrigatório, inclusive quanto ao conflito com o Zoneamento Ecológico-Econômico (ZEE).</t>
  </si>
  <si>
    <t>área protegida afetada; conflito com o ZEE</t>
  </si>
  <si>
    <t>https://www.planalto.gov.br/ccivil_03/decreto/2002/d4297.htm</t>
  </si>
  <si>
    <t>A complexidade e o prazo do licenciamento ambiental podem atrasar ou inviabilizar a obra. Projetos com licenciamento mais simples apresentam menor risco de execução.</t>
  </si>
  <si>
    <t>grau e prazo do licenciamento</t>
  </si>
  <si>
    <t>https://conama.mma.gov.br/?option=com_sisconama&amp;task=arquivo.download&amp;id=237</t>
  </si>
  <si>
    <t>Em conurbações, o tráfego de passagem disputa espaço com o tráfego local e gera conflito urbano-regional. Projetos que reduzem essa interferência melhoram a fluidez e a qualidade de vida urbana.</t>
  </si>
  <si>
    <t>horas de pico; índice de conflito</t>
  </si>
  <si>
    <t>Nas cidades portuárias, o tráfego de cargas disputa o viário urbano com a população. Reduzir o conflito urbano-portuário aumenta a eficiência logística e reduz as externalidades negativas.</t>
  </si>
  <si>
    <t>índice de interferência urbana</t>
  </si>
  <si>
    <t>Projetos que conectam diferentes modais — portos, ferrovias e aeroportos — ampliam o benefício logístico do conjunto da rede, ao viabilizar cadeias de transporte integradas.</t>
  </si>
  <si>
    <t>número de conexões modais</t>
  </si>
  <si>
    <t>Ligações que integram regiões hoje mal conectadas reduzem vazios logísticos e ampliam a coesão territorial do Estado.</t>
  </si>
  <si>
    <t>novas ligações inter-regionais; frequência</t>
  </si>
  <si>
    <t>A compatibilidade do projeto com os planos diretores municipais e com o uso do solo planejado evita conflitos futuros e confere segurança jurídica à implantação.</t>
  </si>
  <si>
    <t>grau de compatibilidade</t>
  </si>
  <si>
    <t>https://www.planalto.gov.br/ccivil_03/leis/leis_2001/l10257.htm</t>
  </si>
  <si>
    <t>Polos atratores e geradores de tráfego — terminais, centros logísticos e grandes equipamentos urbanos — ampliam a demanda sobre a via. Considerá-los dimensiona corretamente a necessidade de capacidade.</t>
  </si>
  <si>
    <t>entradas e saídas de terminais por dia</t>
  </si>
  <si>
    <t>Projetos menos complexos do ponto de vista técnico e institucional tendem a ser executados com mais rapidez e menor risco, entregando resultado em prazo mais curto. É critério obrigatório (PPT, slide 3).</t>
  </si>
  <si>
    <t>escala qualitativa de 1 a 5</t>
  </si>
  <si>
    <t>Quanto menor o prazo até a entrada em operação, mais cedo os benefícios são gerados. O prazo de implantação é critério obrigatório de priorização (PPT, slide 3).</t>
  </si>
  <si>
    <t>meses até a operação</t>
  </si>
  <si>
    <t>A ausência de impedimentos jurídicos e jurisdicionais é condição para a execução. Pendências elevam o risco de paralisação e constituem critério obrigatório (PPT, slide 3).</t>
  </si>
  <si>
    <t>número de pendências; grau de risco jurídico</t>
  </si>
  <si>
    <t>https://www.planalto.gov.br/ccivil_03/_ato2019-2022/2021/lei/l14133.htm</t>
  </si>
  <si>
    <t>A coerência do projeto com os planos vigentes — PPA, PEF, PAN e PNLT — garante legitimidade orçamentária e institucional à priorização.</t>
  </si>
  <si>
    <t>grau de aderência aos planos</t>
  </si>
  <si>
    <t>A convergência entre os atores institucionais envolvidos facilita a execução e reduz o risco de bloqueios políticos ou administrativos.</t>
  </si>
  <si>
    <t>grau de consenso (atores do slide 58)</t>
  </si>
  <si>
    <t>O volume de contribuições e de manifestações sociais recebidas confere legitimidade participativa à priorização e indica o apoio da sociedade ao projeto.</t>
  </si>
  <si>
    <t>número de menções e contribuições</t>
  </si>
  <si>
    <t>Projetos que aumentam a resiliência da rede a eventos climáticos extremos (pontos de alagamento, ou Blue Spots) reduzem o risco de interrupção do tráfego e os custos de recuperação.</t>
  </si>
  <si>
    <t>% da rede resiliente; nº de Blue Spots mitigados</t>
  </si>
  <si>
    <t>Projeções de demanda incertas elevam o risco do investimento. Quanto maior a variância entre os cenários, maior a chance de o benefício previsto não se concretizar.</t>
  </si>
  <si>
    <t>variância entre cenários de demanda</t>
  </si>
  <si>
    <t>https://academic.oup.com/oxrep/article-abstract/25/3/344/424009</t>
  </si>
  <si>
    <t>O histórico de desvios de prazo e de custo — viés de otimismo — sinaliza maior risco de execução. Projetos com esse histórico devem ser penalizados na priorização.</t>
  </si>
  <si>
    <t>desvio histórico de prazo e de custo</t>
  </si>
  <si>
    <t>Desapropriações e interferências com redes de infraestrutura são causas frequentes de atraso e de sobrecusto. Quanto maior o número de desapropriações e de interferências, maior o risco.</t>
  </si>
  <si>
    <t>número de desapropriações; interferências</t>
  </si>
  <si>
    <t>https://www.planalto.gov.br/ccivil_03/decreto-lei/del3365.htm</t>
  </si>
  <si>
    <t>Projetos cujo benefício depende da execução prévia de outros (predecessores) carregam risco maior, pois ficam reféns do cronograma dos projetos dos quais dependem.</t>
  </si>
  <si>
    <t>número de projetos predecessores</t>
  </si>
  <si>
    <t>A presença de comunidades tradicionais, como quilombolas e indígenas, exige consulta e cuidado redobrados. O risco socioambiental, se não for tratado, pode paralisar o projeto.</t>
  </si>
  <si>
    <t>presença e grau de conflito socioambiental</t>
  </si>
  <si>
    <t>https://www.ilo.org/pt-pt/resource/other/convencao-no-169-da-oit-sobre-povos-indigenas-e-tribais-traduzida-para</t>
  </si>
  <si>
    <t>Origem do Dado</t>
  </si>
  <si>
    <t>Equipe Projeto</t>
  </si>
  <si>
    <t>Equipe Rede / Equipe Projeto / Equipe Econômica / Equipe "Coordenação"</t>
  </si>
  <si>
    <t>PROJETO PORTO SUL</t>
  </si>
  <si>
    <t>PROJETO PORTO SÃO SEBASTIÃO</t>
  </si>
  <si>
    <t>PROJETO PORTO SANTOS ALTERNATIVAS .....</t>
  </si>
  <si>
    <t>PROJETO VIA VERDE</t>
  </si>
  <si>
    <t>PROJETO CARGAS TIC SUL</t>
  </si>
  <si>
    <t>PROJETO CARGAS TIC LESTE</t>
  </si>
  <si>
    <t>Concentra os impactos econômicos amplos (wider economic impacts): emprego, produção, competitividade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</si>
  <si>
    <t>Reúne os critérios de equidade e de acesso — redução de desigualdades regionais, população beneficiada por tipologia estabelecida,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</si>
  <si>
    <t>Economia e Competitividade</t>
  </si>
  <si>
    <t>Socioeconômico / Financeiro / Orçamentário</t>
  </si>
  <si>
    <t>Agrupa os critérios de custo e de retorno monetário do investimento — Capex, Opex, potencial de alavancagem privada, impacto orçamentário imediato, impacto orçamentário distribuído, impacto sobre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</si>
  <si>
    <t>Insumo ou Indicador</t>
  </si>
  <si>
    <t>Insumo</t>
  </si>
  <si>
    <t>Indicador</t>
  </si>
  <si>
    <t>Impacto orçamentário imediato</t>
  </si>
  <si>
    <t>Impacto orçamentário distribuído</t>
  </si>
  <si>
    <t>SOBREPOSIÇÃO COM OUTROS INDICADORES</t>
  </si>
  <si>
    <t>OBS</t>
  </si>
  <si>
    <t>Capacidade de Tarifação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</si>
</sst>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v.uk/government/publications/the-green-book-appraisal-and-evaluation-in-central-government" TargetMode="External"/><Relationship Id="rId18" Type="http://schemas.openxmlformats.org/officeDocument/2006/relationships/hyperlink" Target="https://trid.trb.org/view/1334470" TargetMode="External"/><Relationship Id="rId26" Type="http://schemas.openxmlformats.org/officeDocument/2006/relationships/hyperlink" Target="https://research.utwente.nl/en/publications/accessibility-evaluation-of-land-use-and-transport-strategies-rev" TargetMode="External"/><Relationship Id="rId39" Type="http://schemas.openxmlformats.org/officeDocument/2006/relationships/hyperlink" Target="https://trid.trb.org/view/1334470" TargetMode="External"/><Relationship Id="rId21" Type="http://schemas.openxmlformats.org/officeDocument/2006/relationships/hyperlink" Target="https://trid.trb.org/view/1334470" TargetMode="External"/><Relationship Id="rId34" Type="http://schemas.openxmlformats.org/officeDocument/2006/relationships/hyperlink" Target="https://www.ipcc.ch/" TargetMode="External"/><Relationship Id="rId42" Type="http://schemas.openxmlformats.org/officeDocument/2006/relationships/hyperlink" Target="https://www.planalto.gov.br/ccivil_03/leis/leis_2001/l10257.htm" TargetMode="External"/><Relationship Id="rId47" Type="http://schemas.openxmlformats.org/officeDocument/2006/relationships/hyperlink" Target="https://trid.trb.org/view/1334470" TargetMode="External"/><Relationship Id="rId50" Type="http://schemas.openxmlformats.org/officeDocument/2006/relationships/hyperlink" Target="https://www.ipcc.ch/" TargetMode="External"/><Relationship Id="rId55" Type="http://schemas.openxmlformats.org/officeDocument/2006/relationships/hyperlink" Target="https://www.ilo.org/pt-pt/resource/other/convencao-no-169-da-oit-sobre-povos-indigenas-e-tribais-traduzida-para" TargetMode="External"/><Relationship Id="rId7" Type="http://schemas.openxmlformats.org/officeDocument/2006/relationships/hyperlink" Target="https://www.trb.org/Main/Blurbs/175169.aspx" TargetMode="External"/><Relationship Id="rId2" Type="http://schemas.openxmlformats.org/officeDocument/2006/relationships/hyperlink" Target="https://www.trb.org/Main/Blurbs/175169.aspx" TargetMode="External"/><Relationship Id="rId16" Type="http://schemas.openxmlformats.org/officeDocument/2006/relationships/hyperlink" Target="https://trimis.ec.europa.eu/project/developing-harmonised-european-approaches-transport-costing-and-project-assessment" TargetMode="External"/><Relationship Id="rId29" Type="http://schemas.openxmlformats.org/officeDocument/2006/relationships/hyperlink" Target="https://irap.org/rap-tools/infrastructure-ratings/star-ratings/" TargetMode="External"/><Relationship Id="rId11" Type="http://schemas.openxmlformats.org/officeDocument/2006/relationships/hyperlink" Target="https://ppp.worldbank.org/sites/default/files/2024-08/PPP%20Reference%20Guide%20Version%203.pdf" TargetMode="External"/><Relationship Id="rId24" Type="http://schemas.openxmlformats.org/officeDocument/2006/relationships/hyperlink" Target="https://research.utwente.nl/en/publications/accessibility-evaluation-of-land-use-and-transport-strategies-rev" TargetMode="External"/><Relationship Id="rId32" Type="http://schemas.openxmlformats.org/officeDocument/2006/relationships/hyperlink" Target="https://www.al.sp.gov.br/repositorio/legislacao/lei/2009/lei-13798-09.11.2009.html" TargetMode="External"/><Relationship Id="rId37" Type="http://schemas.openxmlformats.org/officeDocument/2006/relationships/hyperlink" Target="https://conama.mma.gov.br/?option=com_sisconama&amp;task=arquivo.download&amp;id=237" TargetMode="External"/><Relationship Id="rId40" Type="http://schemas.openxmlformats.org/officeDocument/2006/relationships/hyperlink" Target="https://trid.trb.org/view/1334470" TargetMode="External"/><Relationship Id="rId45" Type="http://schemas.openxmlformats.org/officeDocument/2006/relationships/hyperlink" Target="https://www.gov.uk/government/publications/the-green-book-appraisal-and-evaluation-in-central-government" TargetMode="External"/><Relationship Id="rId53" Type="http://schemas.openxmlformats.org/officeDocument/2006/relationships/hyperlink" Target="https://www.planalto.gov.br/ccivil_03/decreto-lei/del3365.htm" TargetMode="External"/><Relationship Id="rId5" Type="http://schemas.openxmlformats.org/officeDocument/2006/relationships/hyperlink" Target="https://irap.org/rap-tools/infrastructure-ratings/star-ratings/" TargetMode="External"/><Relationship Id="rId10" Type="http://schemas.openxmlformats.org/officeDocument/2006/relationships/hyperlink" Target="https://www.gov.uk/government/publications/the-green-book-appraisal-and-evaluation-in-central-government" TargetMode="External"/><Relationship Id="rId19" Type="http://schemas.openxmlformats.org/officeDocument/2006/relationships/hyperlink" Target="https://trid.trb.org/view/1334470" TargetMode="External"/><Relationship Id="rId31" Type="http://schemas.openxmlformats.org/officeDocument/2006/relationships/hyperlink" Target="https://irap.org/rap-tools/infrastructure-ratings/star-ratings/" TargetMode="External"/><Relationship Id="rId44" Type="http://schemas.openxmlformats.org/officeDocument/2006/relationships/hyperlink" Target="https://www.gov.uk/government/publications/the-green-book-appraisal-and-evaluation-in-central-government" TargetMode="External"/><Relationship Id="rId52" Type="http://schemas.openxmlformats.org/officeDocument/2006/relationships/hyperlink" Target="https://academic.oup.com/oxrep/article-abstract/25/3/344/424009" TargetMode="External"/><Relationship Id="rId4" Type="http://schemas.openxmlformats.org/officeDocument/2006/relationships/hyperlink" Target="https://documents.worldbank.org/en/publication/documents-reports/documentdetail/793271468171847482" TargetMode="External"/><Relationship Id="rId9" Type="http://schemas.openxmlformats.org/officeDocument/2006/relationships/hyperlink" Target="https://documents.worldbank.org/en/publication/documents-reports/documentdetail/793271468171847482" TargetMode="External"/><Relationship Id="rId14" Type="http://schemas.openxmlformats.org/officeDocument/2006/relationships/hyperlink" Target="https://www.gov.uk/guidance/transport-analysis-guidance-tag" TargetMode="External"/><Relationship Id="rId22" Type="http://schemas.openxmlformats.org/officeDocument/2006/relationships/hyperlink" Target="https://www.gov.uk/guidance/transport-analysis-guidance-tag" TargetMode="External"/><Relationship Id="rId27" Type="http://schemas.openxmlformats.org/officeDocument/2006/relationships/hyperlink" Target="https://research.utwente.nl/en/publications/accessibility-evaluation-of-land-use-and-transport-strategies-rev" TargetMode="External"/><Relationship Id="rId30" Type="http://schemas.openxmlformats.org/officeDocument/2006/relationships/hyperlink" Target="https://irap.org/rap-tools/infrastructure-ratings/star-ratings/" TargetMode="External"/><Relationship Id="rId35" Type="http://schemas.openxmlformats.org/officeDocument/2006/relationships/hyperlink" Target="https://trid.trb.org/view/1334470" TargetMode="External"/><Relationship Id="rId43" Type="http://schemas.openxmlformats.org/officeDocument/2006/relationships/hyperlink" Target="https://www.trb.org/Main/Blurbs/175169.aspx" TargetMode="External"/><Relationship Id="rId48" Type="http://schemas.openxmlformats.org/officeDocument/2006/relationships/hyperlink" Target="https://trid.trb.org/view/1334470" TargetMode="External"/><Relationship Id="rId8" Type="http://schemas.openxmlformats.org/officeDocument/2006/relationships/hyperlink" Target="https://www.transportation.gov/mission/office-secretary/office-policy/transportation-policy/benefit-cost-analysis-guidance" TargetMode="External"/><Relationship Id="rId51" Type="http://schemas.openxmlformats.org/officeDocument/2006/relationships/hyperlink" Target="https://academic.oup.com/oxrep/article-abstract/25/3/344/424009" TargetMode="External"/><Relationship Id="rId3" Type="http://schemas.openxmlformats.org/officeDocument/2006/relationships/hyperlink" Target="https://www.gov.uk/guidance/transport-analysis-guidance-tag" TargetMode="External"/><Relationship Id="rId12" Type="http://schemas.openxmlformats.org/officeDocument/2006/relationships/hyperlink" Target="https://trimis.ec.europa.eu/project/developing-harmonised-european-approaches-transport-costing-and-project-assessment" TargetMode="External"/><Relationship Id="rId17" Type="http://schemas.openxmlformats.org/officeDocument/2006/relationships/hyperlink" Target="https://www.gov.uk/guidance/transport-analysis-guidance-tag" TargetMode="External"/><Relationship Id="rId25" Type="http://schemas.openxmlformats.org/officeDocument/2006/relationships/hyperlink" Target="https://research.utwente.nl/en/publications/accessibility-evaluation-of-land-use-and-transport-strategies-rev" TargetMode="External"/><Relationship Id="rId33" Type="http://schemas.openxmlformats.org/officeDocument/2006/relationships/hyperlink" Target="https://trimis.ec.europa.eu/project/developing-harmonised-european-approaches-transport-costing-and-project-assessment" TargetMode="External"/><Relationship Id="rId38" Type="http://schemas.openxmlformats.org/officeDocument/2006/relationships/hyperlink" Target="https://www.trb.org/Main/Blurbs/175169.aspx" TargetMode="External"/><Relationship Id="rId46" Type="http://schemas.openxmlformats.org/officeDocument/2006/relationships/hyperlink" Target="https://www.planalto.gov.br/ccivil_03/_ato2019-2022/2021/lei/l14133.htm" TargetMode="External"/><Relationship Id="rId20" Type="http://schemas.openxmlformats.org/officeDocument/2006/relationships/hyperlink" Target="https://trid.trb.org/view/1334470" TargetMode="External"/><Relationship Id="rId41" Type="http://schemas.openxmlformats.org/officeDocument/2006/relationships/hyperlink" Target="https://research.utwente.nl/en/publications/accessibility-evaluation-of-land-use-and-transport-strategies-rev" TargetMode="External"/><Relationship Id="rId54" Type="http://schemas.openxmlformats.org/officeDocument/2006/relationships/hyperlink" Target="https://www.gov.uk/government/publications/the-green-book-appraisal-and-evaluation-in-central-government" TargetMode="External"/><Relationship Id="rId1" Type="http://schemas.openxmlformats.org/officeDocument/2006/relationships/hyperlink" Target="https://www.gov.uk/guidance/transport-analysis-guidance-tag" TargetMode="External"/><Relationship Id="rId6" Type="http://schemas.openxmlformats.org/officeDocument/2006/relationships/hyperlink" Target="https://www.gov.uk/government/publications/the-green-book-appraisal-and-evaluation-in-central-government" TargetMode="External"/><Relationship Id="rId15" Type="http://schemas.openxmlformats.org/officeDocument/2006/relationships/hyperlink" Target="https://www.gov.uk/guidance/transport-analysis-guidance-tag" TargetMode="External"/><Relationship Id="rId23" Type="http://schemas.openxmlformats.org/officeDocument/2006/relationships/hyperlink" Target="https://www.gov.uk/guidance/transport-analysis-guidance-tag" TargetMode="External"/><Relationship Id="rId28" Type="http://schemas.openxmlformats.org/officeDocument/2006/relationships/hyperlink" Target="https://irap.org/rap-tools/infrastructure-ratings/star-ratings/" TargetMode="External"/><Relationship Id="rId36" Type="http://schemas.openxmlformats.org/officeDocument/2006/relationships/hyperlink" Target="https://www.planalto.gov.br/ccivil_03/decreto/2002/d4297.htm" TargetMode="External"/><Relationship Id="rId49" Type="http://schemas.openxmlformats.org/officeDocument/2006/relationships/hyperlink" Target="https://trid.trb.org/view/13344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130" zoomScaleNormal="130" workbookViewId="0">
      <pane ySplit="1" topLeftCell="A8" activePane="bottomLeft" state="frozen"/>
      <selection pane="bottomLeft" activeCell="C3" sqref="C3"/>
    </sheetView>
  </sheetViews>
  <sheetFormatPr defaultRowHeight="14.5" x14ac:dyDescent="0.35"/>
  <cols>
    <col min="1" max="1" width="5" customWidth="1"/>
    <col min="2" max="2" width="16" customWidth="1"/>
    <col min="3" max="3" width="118" customWidth="1"/>
  </cols>
  <sheetData>
    <row r="1" spans="1:3" ht="26" customHeight="1" x14ac:dyDescent="0.35">
      <c r="A1" s="1" t="s">
        <v>0</v>
      </c>
      <c r="B1" s="1" t="s">
        <v>1</v>
      </c>
      <c r="C1" s="1" t="s">
        <v>2</v>
      </c>
    </row>
    <row r="2" spans="1:3" ht="104" customHeight="1" x14ac:dyDescent="0.35">
      <c r="A2" s="2">
        <v>1</v>
      </c>
      <c r="B2" s="3" t="s">
        <v>3</v>
      </c>
      <c r="C2" s="4" t="s">
        <v>4</v>
      </c>
    </row>
    <row r="3" spans="1:3" ht="104" customHeight="1" x14ac:dyDescent="0.35">
      <c r="A3" s="2">
        <v>2</v>
      </c>
      <c r="B3" s="3" t="s">
        <v>224</v>
      </c>
      <c r="C3" s="4" t="s">
        <v>225</v>
      </c>
    </row>
    <row r="4" spans="1:3" ht="104" customHeight="1" x14ac:dyDescent="0.35">
      <c r="A4" s="2">
        <v>3</v>
      </c>
      <c r="B4" s="3" t="s">
        <v>223</v>
      </c>
      <c r="C4" s="4" t="s">
        <v>221</v>
      </c>
    </row>
    <row r="5" spans="1:3" ht="104" customHeight="1" x14ac:dyDescent="0.35">
      <c r="A5" s="2">
        <v>4</v>
      </c>
      <c r="B5" s="3" t="s">
        <v>7</v>
      </c>
      <c r="C5" s="4" t="s">
        <v>222</v>
      </c>
    </row>
    <row r="6" spans="1:3" ht="104" customHeight="1" x14ac:dyDescent="0.35">
      <c r="A6" s="2">
        <v>5</v>
      </c>
      <c r="B6" s="3" t="s">
        <v>8</v>
      </c>
      <c r="C6" s="4" t="s">
        <v>9</v>
      </c>
    </row>
    <row r="7" spans="1:3" ht="104" customHeight="1" x14ac:dyDescent="0.35">
      <c r="A7" s="2">
        <v>6</v>
      </c>
      <c r="B7" s="3" t="s">
        <v>10</v>
      </c>
      <c r="C7" s="4" t="s">
        <v>11</v>
      </c>
    </row>
    <row r="8" spans="1:3" ht="104" customHeight="1" x14ac:dyDescent="0.35">
      <c r="A8" s="2">
        <v>7</v>
      </c>
      <c r="B8" s="3" t="s">
        <v>12</v>
      </c>
      <c r="C8" s="4" t="s">
        <v>13</v>
      </c>
    </row>
    <row r="9" spans="1:3" ht="104" customHeight="1" x14ac:dyDescent="0.35">
      <c r="A9" s="2">
        <v>8</v>
      </c>
      <c r="B9" s="3" t="s">
        <v>14</v>
      </c>
      <c r="C9" s="4" t="s">
        <v>15</v>
      </c>
    </row>
    <row r="10" spans="1:3" ht="104" customHeight="1" x14ac:dyDescent="0.35">
      <c r="A10" s="2">
        <v>9</v>
      </c>
      <c r="B10" s="3" t="s">
        <v>16</v>
      </c>
      <c r="C10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workbookViewId="0">
      <pane ySplit="1" topLeftCell="A2" activePane="bottomLeft" state="frozen"/>
      <selection pane="bottomLeft" activeCell="C12" sqref="C12:D12"/>
    </sheetView>
  </sheetViews>
  <sheetFormatPr defaultRowHeight="14.5" x14ac:dyDescent="0.35"/>
  <cols>
    <col min="1" max="1" width="6" customWidth="1"/>
    <col min="2" max="2" width="56" customWidth="1"/>
    <col min="3" max="4" width="18" customWidth="1"/>
    <col min="5" max="5" width="44.453125" customWidth="1"/>
  </cols>
  <sheetData>
    <row r="1" spans="1:5" ht="26" customHeight="1" x14ac:dyDescent="0.35">
      <c r="A1" s="1" t="s">
        <v>0</v>
      </c>
      <c r="B1" s="1" t="s">
        <v>18</v>
      </c>
      <c r="C1" s="1" t="s">
        <v>1</v>
      </c>
      <c r="D1" s="1" t="s">
        <v>226</v>
      </c>
      <c r="E1" s="1" t="s">
        <v>232</v>
      </c>
    </row>
    <row r="2" spans="1:5" x14ac:dyDescent="0.35">
      <c r="A2" s="2">
        <v>1</v>
      </c>
      <c r="B2" s="4" t="s">
        <v>19</v>
      </c>
      <c r="C2" s="3" t="s">
        <v>3</v>
      </c>
      <c r="D2" s="3" t="s">
        <v>227</v>
      </c>
      <c r="E2" s="3"/>
    </row>
    <row r="3" spans="1:5" x14ac:dyDescent="0.35">
      <c r="A3" s="2">
        <f>A2+1</f>
        <v>2</v>
      </c>
      <c r="B3" s="4" t="s">
        <v>20</v>
      </c>
      <c r="C3" s="3" t="s">
        <v>3</v>
      </c>
      <c r="D3" s="3" t="s">
        <v>228</v>
      </c>
      <c r="E3" s="3"/>
    </row>
    <row r="4" spans="1:5" x14ac:dyDescent="0.35">
      <c r="A4" s="2">
        <f t="shared" ref="A4:A60" si="0">A3+1</f>
        <v>3</v>
      </c>
      <c r="B4" s="4" t="s">
        <v>21</v>
      </c>
      <c r="C4" s="3" t="s">
        <v>3</v>
      </c>
      <c r="D4" s="3" t="s">
        <v>228</v>
      </c>
      <c r="E4" s="3"/>
    </row>
    <row r="5" spans="1:5" x14ac:dyDescent="0.35">
      <c r="A5" s="2">
        <f t="shared" si="0"/>
        <v>4</v>
      </c>
      <c r="B5" s="4" t="s">
        <v>22</v>
      </c>
      <c r="C5" s="3" t="s">
        <v>3</v>
      </c>
      <c r="D5" s="3" t="s">
        <v>228</v>
      </c>
      <c r="E5" s="3"/>
    </row>
    <row r="6" spans="1:5" x14ac:dyDescent="0.35">
      <c r="A6" s="2">
        <f t="shared" si="0"/>
        <v>5</v>
      </c>
      <c r="B6" s="4" t="s">
        <v>23</v>
      </c>
      <c r="C6" s="3" t="s">
        <v>3</v>
      </c>
      <c r="D6" s="3" t="s">
        <v>228</v>
      </c>
      <c r="E6" s="3"/>
    </row>
    <row r="7" spans="1:5" x14ac:dyDescent="0.35">
      <c r="A7" s="2">
        <f t="shared" si="0"/>
        <v>6</v>
      </c>
      <c r="B7" s="4" t="s">
        <v>24</v>
      </c>
      <c r="C7" s="3" t="s">
        <v>3</v>
      </c>
      <c r="D7" s="3" t="s">
        <v>228</v>
      </c>
      <c r="E7" s="3"/>
    </row>
    <row r="8" spans="1:5" x14ac:dyDescent="0.35">
      <c r="A8" s="2">
        <f t="shared" si="0"/>
        <v>7</v>
      </c>
      <c r="B8" s="4" t="s">
        <v>25</v>
      </c>
      <c r="C8" s="3" t="s">
        <v>3</v>
      </c>
      <c r="D8" s="3" t="s">
        <v>228</v>
      </c>
      <c r="E8" s="3"/>
    </row>
    <row r="9" spans="1:5" x14ac:dyDescent="0.35">
      <c r="A9" s="10"/>
      <c r="B9" s="11"/>
      <c r="C9" s="12"/>
      <c r="D9" s="12"/>
      <c r="E9" s="12"/>
    </row>
    <row r="10" spans="1:5" x14ac:dyDescent="0.35">
      <c r="A10" s="2">
        <f>A8+1</f>
        <v>8</v>
      </c>
      <c r="B10" s="4" t="s">
        <v>26</v>
      </c>
      <c r="C10" s="3" t="s">
        <v>5</v>
      </c>
      <c r="D10" s="3" t="s">
        <v>227</v>
      </c>
      <c r="E10" s="3"/>
    </row>
    <row r="11" spans="1:5" x14ac:dyDescent="0.35">
      <c r="A11" s="2">
        <f t="shared" si="0"/>
        <v>9</v>
      </c>
      <c r="B11" s="4" t="s">
        <v>27</v>
      </c>
      <c r="C11" s="3" t="s">
        <v>5</v>
      </c>
      <c r="D11" s="3" t="s">
        <v>227</v>
      </c>
      <c r="E11" s="3"/>
    </row>
    <row r="12" spans="1:5" x14ac:dyDescent="0.35">
      <c r="A12" s="2">
        <f t="shared" si="0"/>
        <v>10</v>
      </c>
      <c r="B12" s="4" t="s">
        <v>233</v>
      </c>
      <c r="C12" s="3" t="s">
        <v>5</v>
      </c>
      <c r="D12" s="3" t="s">
        <v>227</v>
      </c>
      <c r="E12" s="3"/>
    </row>
    <row r="13" spans="1:5" x14ac:dyDescent="0.35">
      <c r="A13" s="2">
        <f t="shared" si="0"/>
        <v>11</v>
      </c>
      <c r="B13" s="4" t="s">
        <v>28</v>
      </c>
      <c r="C13" s="3" t="s">
        <v>5</v>
      </c>
      <c r="D13" s="3" t="s">
        <v>228</v>
      </c>
      <c r="E13" s="3" t="s">
        <v>231</v>
      </c>
    </row>
    <row r="14" spans="1:5" x14ac:dyDescent="0.35">
      <c r="A14" s="2">
        <f t="shared" si="0"/>
        <v>12</v>
      </c>
      <c r="B14" s="4" t="s">
        <v>29</v>
      </c>
      <c r="C14" s="3" t="s">
        <v>5</v>
      </c>
      <c r="D14" s="3" t="s">
        <v>228</v>
      </c>
      <c r="E14" s="3"/>
    </row>
    <row r="15" spans="1:5" x14ac:dyDescent="0.35">
      <c r="A15" s="2">
        <f t="shared" si="0"/>
        <v>13</v>
      </c>
      <c r="B15" s="4" t="s">
        <v>229</v>
      </c>
      <c r="C15" s="3" t="s">
        <v>5</v>
      </c>
      <c r="D15" s="3" t="s">
        <v>228</v>
      </c>
      <c r="E15" s="3"/>
    </row>
    <row r="16" spans="1:5" x14ac:dyDescent="0.35">
      <c r="A16" s="2">
        <f t="shared" si="0"/>
        <v>14</v>
      </c>
      <c r="B16" s="4" t="s">
        <v>230</v>
      </c>
      <c r="C16" s="3" t="s">
        <v>5</v>
      </c>
      <c r="D16" s="3" t="s">
        <v>228</v>
      </c>
      <c r="E16" s="3"/>
    </row>
    <row r="17" spans="1:5" x14ac:dyDescent="0.35">
      <c r="A17" s="2">
        <f t="shared" si="0"/>
        <v>15</v>
      </c>
      <c r="B17" s="4" t="s">
        <v>30</v>
      </c>
      <c r="C17" s="3" t="s">
        <v>5</v>
      </c>
      <c r="D17" s="3" t="s">
        <v>228</v>
      </c>
      <c r="E17" s="3"/>
    </row>
    <row r="18" spans="1:5" x14ac:dyDescent="0.35">
      <c r="A18" s="10"/>
      <c r="B18" s="11"/>
      <c r="C18" s="12"/>
      <c r="D18" s="12"/>
      <c r="E18" s="12"/>
    </row>
    <row r="19" spans="1:5" x14ac:dyDescent="0.35">
      <c r="A19" s="2">
        <f>A17+1</f>
        <v>16</v>
      </c>
      <c r="B19" s="4" t="s">
        <v>32</v>
      </c>
      <c r="C19" s="3" t="s">
        <v>6</v>
      </c>
      <c r="D19" s="3" t="s">
        <v>228</v>
      </c>
      <c r="E19" s="3"/>
    </row>
    <row r="20" spans="1:5" x14ac:dyDescent="0.35">
      <c r="A20" s="2">
        <f t="shared" si="0"/>
        <v>17</v>
      </c>
      <c r="B20" s="4" t="s">
        <v>33</v>
      </c>
      <c r="C20" s="3" t="s">
        <v>6</v>
      </c>
      <c r="D20" s="3" t="s">
        <v>228</v>
      </c>
      <c r="E20" s="3"/>
    </row>
    <row r="21" spans="1:5" x14ac:dyDescent="0.35">
      <c r="A21" s="2">
        <f t="shared" si="0"/>
        <v>18</v>
      </c>
      <c r="B21" s="4" t="s">
        <v>34</v>
      </c>
      <c r="C21" s="3" t="s">
        <v>6</v>
      </c>
      <c r="D21" s="3" t="s">
        <v>228</v>
      </c>
      <c r="E21" s="3"/>
    </row>
    <row r="22" spans="1:5" x14ac:dyDescent="0.35">
      <c r="A22" s="2">
        <f t="shared" si="0"/>
        <v>19</v>
      </c>
      <c r="B22" s="4" t="s">
        <v>35</v>
      </c>
      <c r="C22" s="3" t="s">
        <v>6</v>
      </c>
      <c r="D22" s="3" t="s">
        <v>228</v>
      </c>
      <c r="E22" s="3"/>
    </row>
    <row r="23" spans="1:5" x14ac:dyDescent="0.35">
      <c r="A23" s="2">
        <f t="shared" si="0"/>
        <v>20</v>
      </c>
      <c r="B23" s="4" t="s">
        <v>36</v>
      </c>
      <c r="C23" s="3" t="s">
        <v>6</v>
      </c>
      <c r="D23" s="3" t="s">
        <v>228</v>
      </c>
      <c r="E23" s="3"/>
    </row>
    <row r="24" spans="1:5" x14ac:dyDescent="0.35">
      <c r="A24" s="2">
        <f t="shared" si="0"/>
        <v>21</v>
      </c>
      <c r="B24" s="4" t="s">
        <v>37</v>
      </c>
      <c r="C24" s="3" t="s">
        <v>6</v>
      </c>
      <c r="D24" s="3" t="s">
        <v>228</v>
      </c>
      <c r="E24" s="3"/>
    </row>
    <row r="25" spans="1:5" x14ac:dyDescent="0.35">
      <c r="A25" s="2">
        <f t="shared" si="0"/>
        <v>22</v>
      </c>
      <c r="B25" s="4" t="s">
        <v>38</v>
      </c>
      <c r="C25" s="3" t="s">
        <v>6</v>
      </c>
      <c r="D25" s="3" t="s">
        <v>228</v>
      </c>
      <c r="E25" s="3"/>
    </row>
    <row r="26" spans="1:5" x14ac:dyDescent="0.35">
      <c r="A26" s="2">
        <f t="shared" si="0"/>
        <v>23</v>
      </c>
      <c r="B26" s="4" t="s">
        <v>39</v>
      </c>
      <c r="C26" s="3" t="s">
        <v>6</v>
      </c>
      <c r="D26" s="3" t="s">
        <v>228</v>
      </c>
      <c r="E26" s="3"/>
    </row>
    <row r="27" spans="1:5" x14ac:dyDescent="0.35">
      <c r="A27" s="2">
        <f t="shared" si="0"/>
        <v>24</v>
      </c>
      <c r="B27" s="4" t="s">
        <v>40</v>
      </c>
      <c r="C27" s="3" t="s">
        <v>7</v>
      </c>
      <c r="D27" s="3" t="s">
        <v>228</v>
      </c>
      <c r="E27" s="3"/>
    </row>
    <row r="28" spans="1:5" x14ac:dyDescent="0.35">
      <c r="A28" s="2">
        <f t="shared" si="0"/>
        <v>25</v>
      </c>
      <c r="B28" s="4" t="s">
        <v>41</v>
      </c>
      <c r="C28" s="3" t="s">
        <v>7</v>
      </c>
      <c r="D28" s="3" t="s">
        <v>228</v>
      </c>
      <c r="E28" s="3"/>
    </row>
    <row r="29" spans="1:5" x14ac:dyDescent="0.35">
      <c r="A29" s="2">
        <f t="shared" si="0"/>
        <v>26</v>
      </c>
      <c r="B29" s="4" t="s">
        <v>42</v>
      </c>
      <c r="C29" s="3" t="s">
        <v>7</v>
      </c>
      <c r="D29" s="3" t="s">
        <v>228</v>
      </c>
      <c r="E29" s="3"/>
    </row>
    <row r="30" spans="1:5" x14ac:dyDescent="0.35">
      <c r="A30" s="2">
        <f t="shared" si="0"/>
        <v>27</v>
      </c>
      <c r="B30" s="4" t="s">
        <v>43</v>
      </c>
      <c r="C30" s="3" t="s">
        <v>7</v>
      </c>
      <c r="D30" s="3" t="s">
        <v>228</v>
      </c>
      <c r="E30" s="3"/>
    </row>
    <row r="31" spans="1:5" x14ac:dyDescent="0.35">
      <c r="A31" s="2">
        <f t="shared" si="0"/>
        <v>28</v>
      </c>
      <c r="B31" s="4" t="s">
        <v>44</v>
      </c>
      <c r="C31" s="3" t="s">
        <v>7</v>
      </c>
      <c r="D31" s="3" t="s">
        <v>228</v>
      </c>
      <c r="E31" s="3"/>
    </row>
    <row r="32" spans="1:5" x14ac:dyDescent="0.35">
      <c r="A32" s="2">
        <f t="shared" si="0"/>
        <v>29</v>
      </c>
      <c r="B32" s="4" t="s">
        <v>45</v>
      </c>
      <c r="C32" s="3" t="s">
        <v>7</v>
      </c>
      <c r="D32" s="3" t="s">
        <v>228</v>
      </c>
      <c r="E32" s="3"/>
    </row>
    <row r="33" spans="1:5" x14ac:dyDescent="0.35">
      <c r="A33" s="2">
        <f t="shared" si="0"/>
        <v>30</v>
      </c>
      <c r="B33" s="4" t="s">
        <v>46</v>
      </c>
      <c r="C33" s="3" t="s">
        <v>8</v>
      </c>
      <c r="D33" s="3" t="s">
        <v>228</v>
      </c>
      <c r="E33" s="3"/>
    </row>
    <row r="34" spans="1:5" x14ac:dyDescent="0.35">
      <c r="A34" s="2">
        <f t="shared" si="0"/>
        <v>31</v>
      </c>
      <c r="B34" s="4" t="s">
        <v>47</v>
      </c>
      <c r="C34" s="3" t="s">
        <v>8</v>
      </c>
      <c r="D34" s="3" t="s">
        <v>228</v>
      </c>
      <c r="E34" s="3"/>
    </row>
    <row r="35" spans="1:5" x14ac:dyDescent="0.35">
      <c r="A35" s="2">
        <f t="shared" si="0"/>
        <v>32</v>
      </c>
      <c r="B35" s="4" t="s">
        <v>48</v>
      </c>
      <c r="C35" s="3" t="s">
        <v>8</v>
      </c>
      <c r="D35" s="3" t="s">
        <v>228</v>
      </c>
      <c r="E35" s="3"/>
    </row>
    <row r="36" spans="1:5" x14ac:dyDescent="0.35">
      <c r="A36" s="2">
        <f t="shared" si="0"/>
        <v>33</v>
      </c>
      <c r="B36" s="4" t="s">
        <v>49</v>
      </c>
      <c r="C36" s="3" t="s">
        <v>8</v>
      </c>
      <c r="D36" s="3" t="s">
        <v>228</v>
      </c>
      <c r="E36" s="3"/>
    </row>
    <row r="37" spans="1:5" x14ac:dyDescent="0.35">
      <c r="A37" s="2">
        <f t="shared" si="0"/>
        <v>34</v>
      </c>
      <c r="B37" s="4" t="s">
        <v>50</v>
      </c>
      <c r="C37" s="3" t="s">
        <v>10</v>
      </c>
      <c r="D37" s="3" t="s">
        <v>228</v>
      </c>
      <c r="E37" s="3"/>
    </row>
    <row r="38" spans="1:5" x14ac:dyDescent="0.35">
      <c r="A38" s="2">
        <f t="shared" si="0"/>
        <v>35</v>
      </c>
      <c r="B38" s="4" t="s">
        <v>51</v>
      </c>
      <c r="C38" s="3" t="s">
        <v>10</v>
      </c>
      <c r="D38" s="3" t="s">
        <v>228</v>
      </c>
      <c r="E38" s="3"/>
    </row>
    <row r="39" spans="1:5" x14ac:dyDescent="0.35">
      <c r="A39" s="2">
        <f t="shared" si="0"/>
        <v>36</v>
      </c>
      <c r="B39" s="4" t="s">
        <v>52</v>
      </c>
      <c r="C39" s="3" t="s">
        <v>10</v>
      </c>
      <c r="D39" s="3" t="s">
        <v>228</v>
      </c>
      <c r="E39" s="3"/>
    </row>
    <row r="40" spans="1:5" x14ac:dyDescent="0.35">
      <c r="A40" s="2">
        <f t="shared" si="0"/>
        <v>37</v>
      </c>
      <c r="B40" s="4" t="s">
        <v>53</v>
      </c>
      <c r="C40" s="3" t="s">
        <v>10</v>
      </c>
      <c r="D40" s="3" t="s">
        <v>228</v>
      </c>
      <c r="E40" s="3"/>
    </row>
    <row r="41" spans="1:5" x14ac:dyDescent="0.35">
      <c r="A41" s="2">
        <f t="shared" si="0"/>
        <v>38</v>
      </c>
      <c r="B41" s="4" t="s">
        <v>54</v>
      </c>
      <c r="C41" s="3" t="s">
        <v>10</v>
      </c>
      <c r="D41" s="3" t="s">
        <v>228</v>
      </c>
      <c r="E41" s="3"/>
    </row>
    <row r="42" spans="1:5" x14ac:dyDescent="0.35">
      <c r="A42" s="2">
        <f t="shared" si="0"/>
        <v>39</v>
      </c>
      <c r="B42" s="4" t="s">
        <v>55</v>
      </c>
      <c r="C42" s="3" t="s">
        <v>10</v>
      </c>
      <c r="D42" s="3" t="s">
        <v>228</v>
      </c>
      <c r="E42" s="3"/>
    </row>
    <row r="43" spans="1:5" x14ac:dyDescent="0.35">
      <c r="A43" s="2">
        <f t="shared" si="0"/>
        <v>40</v>
      </c>
      <c r="B43" s="4" t="s">
        <v>56</v>
      </c>
      <c r="C43" s="3" t="s">
        <v>12</v>
      </c>
      <c r="D43" s="3" t="s">
        <v>228</v>
      </c>
      <c r="E43" s="3"/>
    </row>
    <row r="44" spans="1:5" x14ac:dyDescent="0.35">
      <c r="A44" s="2">
        <f t="shared" si="0"/>
        <v>41</v>
      </c>
      <c r="B44" s="4" t="s">
        <v>57</v>
      </c>
      <c r="C44" s="3" t="s">
        <v>12</v>
      </c>
      <c r="D44" s="3" t="s">
        <v>228</v>
      </c>
      <c r="E44" s="3"/>
    </row>
    <row r="45" spans="1:5" x14ac:dyDescent="0.35">
      <c r="A45" s="2">
        <f t="shared" si="0"/>
        <v>42</v>
      </c>
      <c r="B45" s="4" t="s">
        <v>58</v>
      </c>
      <c r="C45" s="3" t="s">
        <v>12</v>
      </c>
      <c r="D45" s="3" t="s">
        <v>228</v>
      </c>
      <c r="E45" s="3"/>
    </row>
    <row r="46" spans="1:5" x14ac:dyDescent="0.35">
      <c r="A46" s="2">
        <f t="shared" si="0"/>
        <v>43</v>
      </c>
      <c r="B46" s="4" t="s">
        <v>59</v>
      </c>
      <c r="C46" s="3" t="s">
        <v>12</v>
      </c>
      <c r="D46" s="3" t="s">
        <v>228</v>
      </c>
      <c r="E46" s="3"/>
    </row>
    <row r="47" spans="1:5" x14ac:dyDescent="0.35">
      <c r="A47" s="2">
        <f t="shared" si="0"/>
        <v>44</v>
      </c>
      <c r="B47" s="4" t="s">
        <v>60</v>
      </c>
      <c r="C47" s="3" t="s">
        <v>12</v>
      </c>
      <c r="D47" s="3" t="s">
        <v>228</v>
      </c>
      <c r="E47" s="3"/>
    </row>
    <row r="48" spans="1:5" x14ac:dyDescent="0.35">
      <c r="A48" s="2">
        <f t="shared" si="0"/>
        <v>45</v>
      </c>
      <c r="B48" s="4" t="s">
        <v>61</v>
      </c>
      <c r="C48" s="3" t="s">
        <v>12</v>
      </c>
      <c r="D48" s="3" t="s">
        <v>228</v>
      </c>
      <c r="E48" s="3"/>
    </row>
    <row r="49" spans="1:5" x14ac:dyDescent="0.35">
      <c r="A49" s="2">
        <f t="shared" si="0"/>
        <v>46</v>
      </c>
      <c r="B49" s="4" t="s">
        <v>62</v>
      </c>
      <c r="C49" s="3" t="s">
        <v>14</v>
      </c>
      <c r="D49" s="3" t="s">
        <v>228</v>
      </c>
      <c r="E49" s="3"/>
    </row>
    <row r="50" spans="1:5" x14ac:dyDescent="0.35">
      <c r="A50" s="2">
        <f t="shared" si="0"/>
        <v>47</v>
      </c>
      <c r="B50" s="4" t="s">
        <v>63</v>
      </c>
      <c r="C50" s="3" t="s">
        <v>14</v>
      </c>
      <c r="D50" s="3" t="s">
        <v>228</v>
      </c>
      <c r="E50" s="3"/>
    </row>
    <row r="51" spans="1:5" x14ac:dyDescent="0.35">
      <c r="A51" s="2">
        <f t="shared" si="0"/>
        <v>48</v>
      </c>
      <c r="B51" s="4" t="s">
        <v>64</v>
      </c>
      <c r="C51" s="3" t="s">
        <v>14</v>
      </c>
      <c r="D51" s="3" t="s">
        <v>228</v>
      </c>
      <c r="E51" s="3"/>
    </row>
    <row r="52" spans="1:5" x14ac:dyDescent="0.35">
      <c r="A52" s="2">
        <f t="shared" si="0"/>
        <v>49</v>
      </c>
      <c r="B52" s="4" t="s">
        <v>65</v>
      </c>
      <c r="C52" s="3" t="s">
        <v>14</v>
      </c>
      <c r="D52" s="3" t="s">
        <v>228</v>
      </c>
      <c r="E52" s="3"/>
    </row>
    <row r="53" spans="1:5" x14ac:dyDescent="0.35">
      <c r="A53" s="2">
        <f t="shared" si="0"/>
        <v>50</v>
      </c>
      <c r="B53" s="4" t="s">
        <v>66</v>
      </c>
      <c r="C53" s="3" t="s">
        <v>14</v>
      </c>
      <c r="D53" s="3" t="s">
        <v>228</v>
      </c>
      <c r="E53" s="3"/>
    </row>
    <row r="54" spans="1:5" x14ac:dyDescent="0.35">
      <c r="A54" s="2">
        <f t="shared" si="0"/>
        <v>51</v>
      </c>
      <c r="B54" s="4" t="s">
        <v>67</v>
      </c>
      <c r="C54" s="3" t="s">
        <v>14</v>
      </c>
      <c r="D54" s="3" t="s">
        <v>228</v>
      </c>
      <c r="E54" s="3"/>
    </row>
    <row r="55" spans="1:5" x14ac:dyDescent="0.35">
      <c r="A55" s="2">
        <f t="shared" si="0"/>
        <v>52</v>
      </c>
      <c r="B55" s="4" t="s">
        <v>68</v>
      </c>
      <c r="C55" s="3" t="s">
        <v>16</v>
      </c>
      <c r="D55" s="3" t="s">
        <v>228</v>
      </c>
      <c r="E55" s="3"/>
    </row>
    <row r="56" spans="1:5" x14ac:dyDescent="0.35">
      <c r="A56" s="2">
        <f t="shared" si="0"/>
        <v>53</v>
      </c>
      <c r="B56" s="4" t="s">
        <v>69</v>
      </c>
      <c r="C56" s="3" t="s">
        <v>16</v>
      </c>
      <c r="D56" s="3" t="s">
        <v>228</v>
      </c>
      <c r="E56" s="3"/>
    </row>
    <row r="57" spans="1:5" x14ac:dyDescent="0.35">
      <c r="A57" s="2">
        <f t="shared" si="0"/>
        <v>54</v>
      </c>
      <c r="B57" s="4" t="s">
        <v>70</v>
      </c>
      <c r="C57" s="3" t="s">
        <v>16</v>
      </c>
      <c r="D57" s="3" t="s">
        <v>228</v>
      </c>
      <c r="E57" s="3"/>
    </row>
    <row r="58" spans="1:5" x14ac:dyDescent="0.35">
      <c r="A58" s="2">
        <f t="shared" si="0"/>
        <v>55</v>
      </c>
      <c r="B58" s="4" t="s">
        <v>71</v>
      </c>
      <c r="C58" s="3" t="s">
        <v>16</v>
      </c>
      <c r="D58" s="3" t="s">
        <v>228</v>
      </c>
      <c r="E58" s="3"/>
    </row>
    <row r="59" spans="1:5" x14ac:dyDescent="0.35">
      <c r="A59" s="2">
        <f t="shared" si="0"/>
        <v>56</v>
      </c>
      <c r="B59" s="4" t="s">
        <v>72</v>
      </c>
      <c r="C59" s="3" t="s">
        <v>16</v>
      </c>
      <c r="D59" s="3" t="s">
        <v>228</v>
      </c>
      <c r="E59" s="3"/>
    </row>
    <row r="60" spans="1:5" x14ac:dyDescent="0.35">
      <c r="A60" s="2">
        <f t="shared" si="0"/>
        <v>57</v>
      </c>
      <c r="B60" s="4" t="s">
        <v>73</v>
      </c>
      <c r="C60" s="3" t="s">
        <v>16</v>
      </c>
      <c r="D60" s="3" t="s">
        <v>228</v>
      </c>
      <c r="E60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tabSelected="1" zoomScale="85" zoomScaleNormal="85" workbookViewId="0">
      <pane ySplit="1" topLeftCell="A2" activePane="bottomLeft" state="frozen"/>
      <selection pane="bottomLeft" activeCell="C1" sqref="C1:C1048576"/>
    </sheetView>
  </sheetViews>
  <sheetFormatPr defaultRowHeight="14.5" x14ac:dyDescent="0.35"/>
  <cols>
    <col min="1" max="1" width="13" customWidth="1"/>
    <col min="2" max="2" width="32" customWidth="1"/>
    <col min="3" max="3" width="56" customWidth="1"/>
    <col min="4" max="4" width="13" customWidth="1"/>
    <col min="5" max="5" width="26" customWidth="1"/>
    <col min="6" max="6" width="42" customWidth="1"/>
    <col min="7" max="7" width="12" customWidth="1"/>
    <col min="8" max="8" width="42" customWidth="1"/>
  </cols>
  <sheetData>
    <row r="1" spans="1:8" ht="26" customHeight="1" x14ac:dyDescent="0.35">
      <c r="A1" s="1" t="s">
        <v>1</v>
      </c>
      <c r="B1" s="1" t="s">
        <v>18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212</v>
      </c>
    </row>
    <row r="2" spans="1:8" ht="66" customHeight="1" x14ac:dyDescent="0.35">
      <c r="A2" s="3" t="s">
        <v>3</v>
      </c>
      <c r="B2" s="4" t="s">
        <v>19</v>
      </c>
      <c r="C2" s="4" t="s">
        <v>79</v>
      </c>
      <c r="D2" s="2" t="s">
        <v>80</v>
      </c>
      <c r="E2" s="4" t="s">
        <v>81</v>
      </c>
      <c r="F2" s="5" t="s">
        <v>82</v>
      </c>
      <c r="G2" s="2" t="s">
        <v>83</v>
      </c>
      <c r="H2" s="7"/>
    </row>
    <row r="3" spans="1:8" ht="66" customHeight="1" x14ac:dyDescent="0.35">
      <c r="A3" s="3" t="s">
        <v>3</v>
      </c>
      <c r="B3" s="4" t="s">
        <v>20</v>
      </c>
      <c r="C3" s="4" t="s">
        <v>84</v>
      </c>
      <c r="D3" s="2" t="s">
        <v>85</v>
      </c>
      <c r="E3" s="4" t="s">
        <v>86</v>
      </c>
      <c r="F3" s="5" t="s">
        <v>87</v>
      </c>
      <c r="G3" s="2" t="s">
        <v>83</v>
      </c>
      <c r="H3" s="13" t="s">
        <v>214</v>
      </c>
    </row>
    <row r="4" spans="1:8" ht="66" customHeight="1" x14ac:dyDescent="0.35">
      <c r="A4" s="3" t="s">
        <v>3</v>
      </c>
      <c r="B4" s="4" t="s">
        <v>21</v>
      </c>
      <c r="C4" s="4" t="s">
        <v>88</v>
      </c>
      <c r="D4" s="2" t="s">
        <v>85</v>
      </c>
      <c r="E4" s="4" t="s">
        <v>89</v>
      </c>
      <c r="F4" s="5" t="s">
        <v>82</v>
      </c>
      <c r="G4" s="2" t="s">
        <v>83</v>
      </c>
      <c r="H4" s="7" t="s">
        <v>213</v>
      </c>
    </row>
    <row r="5" spans="1:8" ht="66" customHeight="1" x14ac:dyDescent="0.35">
      <c r="A5" s="3" t="s">
        <v>3</v>
      </c>
      <c r="B5" s="4" t="s">
        <v>22</v>
      </c>
      <c r="C5" s="4" t="s">
        <v>90</v>
      </c>
      <c r="D5" s="2" t="s">
        <v>85</v>
      </c>
      <c r="E5" s="4" t="s">
        <v>91</v>
      </c>
      <c r="F5" s="5" t="s">
        <v>92</v>
      </c>
      <c r="G5" s="2" t="s">
        <v>83</v>
      </c>
      <c r="H5" s="7" t="s">
        <v>213</v>
      </c>
    </row>
    <row r="6" spans="1:8" ht="66" customHeight="1" x14ac:dyDescent="0.35">
      <c r="A6" s="3" t="s">
        <v>3</v>
      </c>
      <c r="B6" s="4" t="s">
        <v>23</v>
      </c>
      <c r="C6" s="4" t="s">
        <v>93</v>
      </c>
      <c r="D6" s="2" t="s">
        <v>85</v>
      </c>
      <c r="E6" s="4" t="s">
        <v>94</v>
      </c>
      <c r="F6" s="5" t="s">
        <v>95</v>
      </c>
      <c r="G6" s="2" t="s">
        <v>83</v>
      </c>
      <c r="H6" s="7" t="s">
        <v>213</v>
      </c>
    </row>
    <row r="7" spans="1:8" ht="66" customHeight="1" x14ac:dyDescent="0.35">
      <c r="A7" s="3" t="s">
        <v>3</v>
      </c>
      <c r="B7" s="4" t="s">
        <v>24</v>
      </c>
      <c r="C7" s="4" t="s">
        <v>96</v>
      </c>
      <c r="D7" s="2" t="s">
        <v>80</v>
      </c>
      <c r="E7" s="4" t="s">
        <v>97</v>
      </c>
      <c r="F7" s="5" t="s">
        <v>98</v>
      </c>
      <c r="G7" s="2" t="s">
        <v>83</v>
      </c>
      <c r="H7" s="7" t="s">
        <v>213</v>
      </c>
    </row>
    <row r="8" spans="1:8" ht="66" customHeight="1" x14ac:dyDescent="0.35">
      <c r="A8" s="3" t="s">
        <v>3</v>
      </c>
      <c r="B8" s="4" t="s">
        <v>25</v>
      </c>
      <c r="C8" s="4" t="s">
        <v>99</v>
      </c>
      <c r="D8" s="2" t="s">
        <v>85</v>
      </c>
      <c r="E8" s="4" t="s">
        <v>100</v>
      </c>
      <c r="F8" s="5" t="s">
        <v>87</v>
      </c>
      <c r="G8" s="2" t="s">
        <v>83</v>
      </c>
      <c r="H8" s="7"/>
    </row>
    <row r="9" spans="1:8" ht="66" customHeight="1" x14ac:dyDescent="0.35">
      <c r="A9" s="3" t="s">
        <v>5</v>
      </c>
      <c r="B9" s="4" t="s">
        <v>26</v>
      </c>
      <c r="C9" s="4" t="s">
        <v>101</v>
      </c>
      <c r="D9" s="2" t="s">
        <v>85</v>
      </c>
      <c r="E9" s="4" t="s">
        <v>102</v>
      </c>
      <c r="F9" s="5" t="s">
        <v>103</v>
      </c>
      <c r="G9" s="2" t="s">
        <v>83</v>
      </c>
      <c r="H9" s="7"/>
    </row>
    <row r="10" spans="1:8" ht="66" customHeight="1" x14ac:dyDescent="0.35">
      <c r="A10" s="3" t="s">
        <v>5</v>
      </c>
      <c r="B10" s="4" t="s">
        <v>27</v>
      </c>
      <c r="C10" s="4" t="s">
        <v>104</v>
      </c>
      <c r="D10" s="2" t="s">
        <v>85</v>
      </c>
      <c r="E10" s="4" t="s">
        <v>105</v>
      </c>
      <c r="F10" s="5" t="s">
        <v>92</v>
      </c>
      <c r="G10" s="2" t="s">
        <v>83</v>
      </c>
      <c r="H10" s="7"/>
    </row>
    <row r="11" spans="1:8" ht="66" customHeight="1" x14ac:dyDescent="0.35">
      <c r="A11" s="3" t="s">
        <v>5</v>
      </c>
      <c r="B11" s="4" t="s">
        <v>28</v>
      </c>
      <c r="C11" s="4" t="s">
        <v>106</v>
      </c>
      <c r="D11" s="2" t="s">
        <v>80</v>
      </c>
      <c r="E11" s="4" t="s">
        <v>107</v>
      </c>
      <c r="F11" s="5" t="s">
        <v>98</v>
      </c>
      <c r="G11" s="2" t="s">
        <v>83</v>
      </c>
      <c r="H11" s="7"/>
    </row>
    <row r="12" spans="1:8" ht="66" customHeight="1" x14ac:dyDescent="0.35">
      <c r="A12" s="3" t="s">
        <v>5</v>
      </c>
      <c r="B12" s="4" t="s">
        <v>29</v>
      </c>
      <c r="C12" s="4" t="s">
        <v>108</v>
      </c>
      <c r="D12" s="2" t="s">
        <v>80</v>
      </c>
      <c r="E12" s="4" t="s">
        <v>109</v>
      </c>
      <c r="F12" s="5" t="s">
        <v>110</v>
      </c>
      <c r="G12" s="2" t="s">
        <v>83</v>
      </c>
      <c r="H12" s="7"/>
    </row>
    <row r="13" spans="1:8" ht="66" customHeight="1" x14ac:dyDescent="0.35">
      <c r="A13" s="3" t="s">
        <v>5</v>
      </c>
      <c r="B13" s="4" t="s">
        <v>30</v>
      </c>
      <c r="C13" s="4" t="s">
        <v>111</v>
      </c>
      <c r="D13" s="2" t="s">
        <v>85</v>
      </c>
      <c r="E13" s="4" t="s">
        <v>112</v>
      </c>
      <c r="F13" s="5" t="s">
        <v>113</v>
      </c>
      <c r="G13" s="2" t="s">
        <v>83</v>
      </c>
      <c r="H13" s="7"/>
    </row>
    <row r="14" spans="1:8" ht="66" customHeight="1" x14ac:dyDescent="0.35">
      <c r="A14" s="3" t="s">
        <v>5</v>
      </c>
      <c r="B14" s="4" t="s">
        <v>31</v>
      </c>
      <c r="C14" s="4" t="s">
        <v>114</v>
      </c>
      <c r="D14" s="2" t="s">
        <v>80</v>
      </c>
      <c r="E14" s="4" t="s">
        <v>115</v>
      </c>
      <c r="F14" s="5" t="s">
        <v>98</v>
      </c>
      <c r="G14" s="2" t="s">
        <v>83</v>
      </c>
      <c r="H14" s="7"/>
    </row>
    <row r="15" spans="1:8" ht="66" customHeight="1" x14ac:dyDescent="0.35">
      <c r="A15" s="3" t="s">
        <v>6</v>
      </c>
      <c r="B15" s="4" t="s">
        <v>32</v>
      </c>
      <c r="C15" s="4" t="s">
        <v>116</v>
      </c>
      <c r="D15" s="2" t="s">
        <v>80</v>
      </c>
      <c r="E15" s="4" t="s">
        <v>117</v>
      </c>
      <c r="F15" s="5" t="s">
        <v>82</v>
      </c>
      <c r="G15" s="2" t="s">
        <v>83</v>
      </c>
      <c r="H15" s="7"/>
    </row>
    <row r="16" spans="1:8" ht="66" customHeight="1" x14ac:dyDescent="0.35">
      <c r="A16" s="3" t="s">
        <v>6</v>
      </c>
      <c r="B16" s="4" t="s">
        <v>33</v>
      </c>
      <c r="C16" s="4" t="s">
        <v>118</v>
      </c>
      <c r="D16" s="2" t="s">
        <v>80</v>
      </c>
      <c r="E16" s="4" t="s">
        <v>119</v>
      </c>
      <c r="F16" s="5" t="s">
        <v>82</v>
      </c>
      <c r="G16" s="2" t="s">
        <v>83</v>
      </c>
      <c r="H16" s="7"/>
    </row>
    <row r="17" spans="1:8" ht="66" customHeight="1" x14ac:dyDescent="0.35">
      <c r="A17" s="3" t="s">
        <v>6</v>
      </c>
      <c r="B17" s="4" t="s">
        <v>34</v>
      </c>
      <c r="C17" s="4" t="s">
        <v>120</v>
      </c>
      <c r="D17" s="2" t="s">
        <v>85</v>
      </c>
      <c r="E17" s="4" t="s">
        <v>121</v>
      </c>
      <c r="F17" s="5" t="s">
        <v>113</v>
      </c>
      <c r="G17" s="2" t="s">
        <v>83</v>
      </c>
      <c r="H17" s="7"/>
    </row>
    <row r="18" spans="1:8" ht="66" customHeight="1" x14ac:dyDescent="0.35">
      <c r="A18" s="3" t="s">
        <v>6</v>
      </c>
      <c r="B18" s="4" t="s">
        <v>35</v>
      </c>
      <c r="C18" s="4" t="s">
        <v>122</v>
      </c>
      <c r="D18" s="2" t="s">
        <v>80</v>
      </c>
      <c r="E18" s="4" t="s">
        <v>123</v>
      </c>
      <c r="F18" s="5" t="s">
        <v>82</v>
      </c>
      <c r="G18" s="2" t="s">
        <v>83</v>
      </c>
      <c r="H18" s="7"/>
    </row>
    <row r="19" spans="1:8" ht="66" customHeight="1" x14ac:dyDescent="0.35">
      <c r="A19" s="3" t="s">
        <v>6</v>
      </c>
      <c r="B19" s="4" t="s">
        <v>36</v>
      </c>
      <c r="C19" s="4" t="s">
        <v>124</v>
      </c>
      <c r="D19" s="2" t="s">
        <v>80</v>
      </c>
      <c r="E19" s="4" t="s">
        <v>125</v>
      </c>
      <c r="F19" s="5" t="s">
        <v>126</v>
      </c>
      <c r="G19" s="2" t="s">
        <v>83</v>
      </c>
      <c r="H19" s="7"/>
    </row>
    <row r="20" spans="1:8" ht="66" customHeight="1" x14ac:dyDescent="0.35">
      <c r="A20" s="3" t="s">
        <v>6</v>
      </c>
      <c r="B20" s="4" t="s">
        <v>37</v>
      </c>
      <c r="C20" s="4" t="s">
        <v>127</v>
      </c>
      <c r="D20" s="2" t="s">
        <v>80</v>
      </c>
      <c r="E20" s="4" t="s">
        <v>128</v>
      </c>
      <c r="F20" s="5" t="s">
        <v>126</v>
      </c>
      <c r="G20" s="2" t="s">
        <v>83</v>
      </c>
      <c r="H20" s="7"/>
    </row>
    <row r="21" spans="1:8" ht="66" customHeight="1" x14ac:dyDescent="0.35">
      <c r="A21" s="3" t="s">
        <v>6</v>
      </c>
      <c r="B21" s="4" t="s">
        <v>38</v>
      </c>
      <c r="C21" s="4" t="s">
        <v>129</v>
      </c>
      <c r="D21" s="2" t="s">
        <v>80</v>
      </c>
      <c r="E21" s="4" t="s">
        <v>130</v>
      </c>
      <c r="F21" s="5" t="s">
        <v>126</v>
      </c>
      <c r="G21" s="2" t="s">
        <v>83</v>
      </c>
      <c r="H21" s="7"/>
    </row>
    <row r="22" spans="1:8" ht="66" customHeight="1" x14ac:dyDescent="0.35">
      <c r="A22" s="3" t="s">
        <v>6</v>
      </c>
      <c r="B22" s="4" t="s">
        <v>39</v>
      </c>
      <c r="C22" s="4" t="s">
        <v>131</v>
      </c>
      <c r="D22" s="2" t="s">
        <v>80</v>
      </c>
      <c r="E22" s="4" t="s">
        <v>132</v>
      </c>
      <c r="F22" s="5" t="s">
        <v>126</v>
      </c>
      <c r="G22" s="2" t="s">
        <v>83</v>
      </c>
      <c r="H22" s="7"/>
    </row>
    <row r="23" spans="1:8" ht="66" customHeight="1" x14ac:dyDescent="0.35">
      <c r="A23" s="3" t="s">
        <v>7</v>
      </c>
      <c r="B23" s="4" t="s">
        <v>40</v>
      </c>
      <c r="C23" s="4" t="s">
        <v>133</v>
      </c>
      <c r="D23" s="2" t="s">
        <v>80</v>
      </c>
      <c r="E23" s="4" t="s">
        <v>134</v>
      </c>
      <c r="F23" s="5" t="s">
        <v>82</v>
      </c>
      <c r="G23" s="6" t="s">
        <v>135</v>
      </c>
      <c r="H23" s="7"/>
    </row>
    <row r="24" spans="1:8" ht="66" customHeight="1" x14ac:dyDescent="0.35">
      <c r="A24" s="3" t="s">
        <v>7</v>
      </c>
      <c r="B24" s="4" t="s">
        <v>41</v>
      </c>
      <c r="C24" s="4" t="s">
        <v>136</v>
      </c>
      <c r="D24" s="2" t="s">
        <v>80</v>
      </c>
      <c r="E24" s="4" t="s">
        <v>137</v>
      </c>
      <c r="F24" s="5" t="s">
        <v>82</v>
      </c>
      <c r="G24" s="2" t="s">
        <v>83</v>
      </c>
      <c r="H24" s="7"/>
    </row>
    <row r="25" spans="1:8" ht="66" customHeight="1" x14ac:dyDescent="0.35">
      <c r="A25" s="3" t="s">
        <v>7</v>
      </c>
      <c r="B25" s="4" t="s">
        <v>42</v>
      </c>
      <c r="C25" s="4" t="s">
        <v>138</v>
      </c>
      <c r="D25" s="2" t="s">
        <v>80</v>
      </c>
      <c r="E25" s="4" t="s">
        <v>139</v>
      </c>
      <c r="F25" s="5" t="s">
        <v>140</v>
      </c>
      <c r="G25" s="2" t="s">
        <v>83</v>
      </c>
      <c r="H25" s="7"/>
    </row>
    <row r="26" spans="1:8" ht="66" customHeight="1" x14ac:dyDescent="0.35">
      <c r="A26" s="3" t="s">
        <v>7</v>
      </c>
      <c r="B26" s="4" t="s">
        <v>43</v>
      </c>
      <c r="C26" s="4" t="s">
        <v>141</v>
      </c>
      <c r="D26" s="2" t="s">
        <v>80</v>
      </c>
      <c r="E26" s="4" t="s">
        <v>142</v>
      </c>
      <c r="F26" s="5" t="s">
        <v>140</v>
      </c>
      <c r="G26" s="2" t="s">
        <v>83</v>
      </c>
      <c r="H26" s="7"/>
    </row>
    <row r="27" spans="1:8" ht="66" customHeight="1" x14ac:dyDescent="0.35">
      <c r="A27" s="3" t="s">
        <v>7</v>
      </c>
      <c r="B27" s="4" t="s">
        <v>44</v>
      </c>
      <c r="C27" s="4" t="s">
        <v>143</v>
      </c>
      <c r="D27" s="2" t="s">
        <v>80</v>
      </c>
      <c r="E27" s="4" t="s">
        <v>144</v>
      </c>
      <c r="F27" s="5" t="s">
        <v>140</v>
      </c>
      <c r="G27" s="2" t="s">
        <v>83</v>
      </c>
      <c r="H27" s="7"/>
    </row>
    <row r="28" spans="1:8" ht="66" customHeight="1" x14ac:dyDescent="0.35">
      <c r="A28" s="3" t="s">
        <v>7</v>
      </c>
      <c r="B28" s="4" t="s">
        <v>45</v>
      </c>
      <c r="C28" s="4" t="s">
        <v>145</v>
      </c>
      <c r="D28" s="2" t="s">
        <v>80</v>
      </c>
      <c r="E28" s="4" t="s">
        <v>146</v>
      </c>
      <c r="F28" s="5" t="s">
        <v>140</v>
      </c>
      <c r="G28" s="2" t="s">
        <v>83</v>
      </c>
      <c r="H28" s="7"/>
    </row>
    <row r="29" spans="1:8" ht="66" customHeight="1" x14ac:dyDescent="0.35">
      <c r="A29" s="3" t="s">
        <v>8</v>
      </c>
      <c r="B29" s="4" t="s">
        <v>46</v>
      </c>
      <c r="C29" s="4" t="s">
        <v>147</v>
      </c>
      <c r="D29" s="2" t="s">
        <v>85</v>
      </c>
      <c r="E29" s="4" t="s">
        <v>148</v>
      </c>
      <c r="F29" s="5" t="s">
        <v>95</v>
      </c>
      <c r="G29" s="2" t="s">
        <v>83</v>
      </c>
      <c r="H29" s="7"/>
    </row>
    <row r="30" spans="1:8" ht="66" customHeight="1" x14ac:dyDescent="0.35">
      <c r="A30" s="3" t="s">
        <v>8</v>
      </c>
      <c r="B30" s="4" t="s">
        <v>47</v>
      </c>
      <c r="C30" s="4" t="s">
        <v>149</v>
      </c>
      <c r="D30" s="2" t="s">
        <v>85</v>
      </c>
      <c r="E30" s="4" t="s">
        <v>150</v>
      </c>
      <c r="F30" s="5" t="s">
        <v>95</v>
      </c>
      <c r="G30" s="2" t="s">
        <v>83</v>
      </c>
      <c r="H30" s="7"/>
    </row>
    <row r="31" spans="1:8" ht="66" customHeight="1" x14ac:dyDescent="0.35">
      <c r="A31" s="3" t="s">
        <v>8</v>
      </c>
      <c r="B31" s="4" t="s">
        <v>48</v>
      </c>
      <c r="C31" s="4" t="s">
        <v>151</v>
      </c>
      <c r="D31" s="2" t="s">
        <v>85</v>
      </c>
      <c r="E31" s="4" t="s">
        <v>152</v>
      </c>
      <c r="F31" s="5" t="s">
        <v>95</v>
      </c>
      <c r="G31" s="2" t="s">
        <v>83</v>
      </c>
      <c r="H31" s="7"/>
    </row>
    <row r="32" spans="1:8" ht="66" customHeight="1" x14ac:dyDescent="0.35">
      <c r="A32" s="3" t="s">
        <v>8</v>
      </c>
      <c r="B32" s="4" t="s">
        <v>49</v>
      </c>
      <c r="C32" s="4" t="s">
        <v>153</v>
      </c>
      <c r="D32" s="2" t="s">
        <v>85</v>
      </c>
      <c r="E32" s="4" t="s">
        <v>154</v>
      </c>
      <c r="F32" s="5" t="s">
        <v>95</v>
      </c>
      <c r="G32" s="2" t="s">
        <v>83</v>
      </c>
      <c r="H32" s="7"/>
    </row>
    <row r="33" spans="1:8" ht="66" customHeight="1" x14ac:dyDescent="0.35">
      <c r="A33" s="3" t="s">
        <v>10</v>
      </c>
      <c r="B33" s="4" t="s">
        <v>50</v>
      </c>
      <c r="C33" s="4" t="s">
        <v>155</v>
      </c>
      <c r="D33" s="2" t="s">
        <v>85</v>
      </c>
      <c r="E33" s="4" t="s">
        <v>156</v>
      </c>
      <c r="F33" s="5" t="s">
        <v>157</v>
      </c>
      <c r="G33" s="6" t="s">
        <v>135</v>
      </c>
      <c r="H33" s="7"/>
    </row>
    <row r="34" spans="1:8" ht="66" customHeight="1" x14ac:dyDescent="0.35">
      <c r="A34" s="3" t="s">
        <v>10</v>
      </c>
      <c r="B34" s="4" t="s">
        <v>51</v>
      </c>
      <c r="C34" s="4" t="s">
        <v>158</v>
      </c>
      <c r="D34" s="2" t="s">
        <v>85</v>
      </c>
      <c r="E34" s="4" t="s">
        <v>159</v>
      </c>
      <c r="F34" s="5" t="s">
        <v>113</v>
      </c>
      <c r="G34" s="2" t="s">
        <v>83</v>
      </c>
      <c r="H34" s="7"/>
    </row>
    <row r="35" spans="1:8" ht="66" customHeight="1" x14ac:dyDescent="0.35">
      <c r="A35" s="3" t="s">
        <v>10</v>
      </c>
      <c r="B35" s="4" t="s">
        <v>52</v>
      </c>
      <c r="C35" s="4" t="s">
        <v>160</v>
      </c>
      <c r="D35" s="2" t="s">
        <v>80</v>
      </c>
      <c r="E35" s="4" t="s">
        <v>161</v>
      </c>
      <c r="F35" s="5" t="s">
        <v>162</v>
      </c>
      <c r="G35" s="2" t="s">
        <v>83</v>
      </c>
      <c r="H35" s="7"/>
    </row>
    <row r="36" spans="1:8" ht="66" customHeight="1" x14ac:dyDescent="0.35">
      <c r="A36" s="3" t="s">
        <v>10</v>
      </c>
      <c r="B36" s="4" t="s">
        <v>53</v>
      </c>
      <c r="C36" s="4" t="s">
        <v>163</v>
      </c>
      <c r="D36" s="2" t="s">
        <v>80</v>
      </c>
      <c r="E36" s="4" t="s">
        <v>164</v>
      </c>
      <c r="F36" s="5" t="s">
        <v>126</v>
      </c>
      <c r="G36" s="2" t="s">
        <v>83</v>
      </c>
      <c r="H36" s="7"/>
    </row>
    <row r="37" spans="1:8" ht="66" customHeight="1" x14ac:dyDescent="0.35">
      <c r="A37" s="3" t="s">
        <v>10</v>
      </c>
      <c r="B37" s="4" t="s">
        <v>54</v>
      </c>
      <c r="C37" s="4" t="s">
        <v>165</v>
      </c>
      <c r="D37" s="2" t="s">
        <v>85</v>
      </c>
      <c r="E37" s="4" t="s">
        <v>166</v>
      </c>
      <c r="F37" s="5" t="s">
        <v>167</v>
      </c>
      <c r="G37" s="6" t="s">
        <v>135</v>
      </c>
      <c r="H37" s="7"/>
    </row>
    <row r="38" spans="1:8" ht="66" customHeight="1" x14ac:dyDescent="0.35">
      <c r="A38" s="3" t="s">
        <v>10</v>
      </c>
      <c r="B38" s="4" t="s">
        <v>55</v>
      </c>
      <c r="C38" s="4" t="s">
        <v>168</v>
      </c>
      <c r="D38" s="2" t="s">
        <v>85</v>
      </c>
      <c r="E38" s="4" t="s">
        <v>169</v>
      </c>
      <c r="F38" s="5" t="s">
        <v>170</v>
      </c>
      <c r="G38" s="2" t="s">
        <v>83</v>
      </c>
      <c r="H38" s="7"/>
    </row>
    <row r="39" spans="1:8" ht="66" customHeight="1" x14ac:dyDescent="0.35">
      <c r="A39" s="3" t="s">
        <v>12</v>
      </c>
      <c r="B39" s="4" t="s">
        <v>56</v>
      </c>
      <c r="C39" s="4" t="s">
        <v>171</v>
      </c>
      <c r="D39" s="2" t="s">
        <v>85</v>
      </c>
      <c r="E39" s="4" t="s">
        <v>172</v>
      </c>
      <c r="F39" s="5" t="s">
        <v>87</v>
      </c>
      <c r="G39" s="2" t="s">
        <v>83</v>
      </c>
      <c r="H39" s="7"/>
    </row>
    <row r="40" spans="1:8" ht="66" customHeight="1" x14ac:dyDescent="0.35">
      <c r="A40" s="3" t="s">
        <v>12</v>
      </c>
      <c r="B40" s="4" t="s">
        <v>57</v>
      </c>
      <c r="C40" s="4" t="s">
        <v>173</v>
      </c>
      <c r="D40" s="2" t="s">
        <v>85</v>
      </c>
      <c r="E40" s="4" t="s">
        <v>174</v>
      </c>
      <c r="F40" s="5" t="s">
        <v>126</v>
      </c>
      <c r="G40" s="2" t="s">
        <v>83</v>
      </c>
      <c r="H40" s="7"/>
    </row>
    <row r="41" spans="1:8" ht="66" customHeight="1" x14ac:dyDescent="0.35">
      <c r="A41" s="3" t="s">
        <v>12</v>
      </c>
      <c r="B41" s="4" t="s">
        <v>58</v>
      </c>
      <c r="C41" s="4" t="s">
        <v>175</v>
      </c>
      <c r="D41" s="2" t="s">
        <v>80</v>
      </c>
      <c r="E41" s="4" t="s">
        <v>176</v>
      </c>
      <c r="F41" s="5" t="s">
        <v>126</v>
      </c>
      <c r="G41" s="2" t="s">
        <v>83</v>
      </c>
      <c r="H41" s="7"/>
    </row>
    <row r="42" spans="1:8" ht="66" customHeight="1" x14ac:dyDescent="0.35">
      <c r="A42" s="3" t="s">
        <v>12</v>
      </c>
      <c r="B42" s="4" t="s">
        <v>59</v>
      </c>
      <c r="C42" s="4" t="s">
        <v>177</v>
      </c>
      <c r="D42" s="2" t="s">
        <v>80</v>
      </c>
      <c r="E42" s="4" t="s">
        <v>178</v>
      </c>
      <c r="F42" s="5" t="s">
        <v>140</v>
      </c>
      <c r="G42" s="2" t="s">
        <v>83</v>
      </c>
      <c r="H42" s="7"/>
    </row>
    <row r="43" spans="1:8" ht="66" customHeight="1" x14ac:dyDescent="0.35">
      <c r="A43" s="3" t="s">
        <v>12</v>
      </c>
      <c r="B43" s="4" t="s">
        <v>60</v>
      </c>
      <c r="C43" s="4" t="s">
        <v>179</v>
      </c>
      <c r="D43" s="2" t="s">
        <v>80</v>
      </c>
      <c r="E43" s="4" t="s">
        <v>180</v>
      </c>
      <c r="F43" s="5" t="s">
        <v>181</v>
      </c>
      <c r="G43" s="2" t="s">
        <v>83</v>
      </c>
      <c r="H43" s="7"/>
    </row>
    <row r="44" spans="1:8" ht="66" customHeight="1" x14ac:dyDescent="0.35">
      <c r="A44" s="3" t="s">
        <v>12</v>
      </c>
      <c r="B44" s="4" t="s">
        <v>61</v>
      </c>
      <c r="C44" s="4" t="s">
        <v>182</v>
      </c>
      <c r="D44" s="2" t="s">
        <v>80</v>
      </c>
      <c r="E44" s="4" t="s">
        <v>183</v>
      </c>
      <c r="F44" s="5" t="s">
        <v>87</v>
      </c>
      <c r="G44" s="2" t="s">
        <v>83</v>
      </c>
      <c r="H44" s="7"/>
    </row>
    <row r="45" spans="1:8" ht="66" customHeight="1" x14ac:dyDescent="0.35">
      <c r="A45" s="3" t="s">
        <v>14</v>
      </c>
      <c r="B45" s="4" t="s">
        <v>62</v>
      </c>
      <c r="C45" s="4" t="s">
        <v>184</v>
      </c>
      <c r="D45" s="2" t="s">
        <v>85</v>
      </c>
      <c r="E45" s="4" t="s">
        <v>185</v>
      </c>
      <c r="F45" s="5" t="s">
        <v>98</v>
      </c>
      <c r="G45" s="6" t="s">
        <v>135</v>
      </c>
      <c r="H45" s="7"/>
    </row>
    <row r="46" spans="1:8" ht="66" customHeight="1" x14ac:dyDescent="0.35">
      <c r="A46" s="3" t="s">
        <v>14</v>
      </c>
      <c r="B46" s="4" t="s">
        <v>63</v>
      </c>
      <c r="C46" s="4" t="s">
        <v>186</v>
      </c>
      <c r="D46" s="2" t="s">
        <v>85</v>
      </c>
      <c r="E46" s="4" t="s">
        <v>187</v>
      </c>
      <c r="F46" s="5" t="s">
        <v>98</v>
      </c>
      <c r="G46" s="6" t="s">
        <v>135</v>
      </c>
      <c r="H46" s="7"/>
    </row>
    <row r="47" spans="1:8" ht="66" customHeight="1" x14ac:dyDescent="0.35">
      <c r="A47" s="3" t="s">
        <v>14</v>
      </c>
      <c r="B47" s="4" t="s">
        <v>64</v>
      </c>
      <c r="C47" s="4" t="s">
        <v>188</v>
      </c>
      <c r="D47" s="2" t="s">
        <v>85</v>
      </c>
      <c r="E47" s="4" t="s">
        <v>189</v>
      </c>
      <c r="F47" s="5" t="s">
        <v>190</v>
      </c>
      <c r="G47" s="6" t="s">
        <v>135</v>
      </c>
      <c r="H47" s="7"/>
    </row>
    <row r="48" spans="1:8" ht="66" customHeight="1" x14ac:dyDescent="0.35">
      <c r="A48" s="3" t="s">
        <v>14</v>
      </c>
      <c r="B48" s="4" t="s">
        <v>65</v>
      </c>
      <c r="C48" s="4" t="s">
        <v>191</v>
      </c>
      <c r="D48" s="2" t="s">
        <v>80</v>
      </c>
      <c r="E48" s="4" t="s">
        <v>192</v>
      </c>
      <c r="F48" s="5" t="s">
        <v>126</v>
      </c>
      <c r="G48" s="2" t="s">
        <v>83</v>
      </c>
      <c r="H48" s="7"/>
    </row>
    <row r="49" spans="1:8" ht="66" customHeight="1" x14ac:dyDescent="0.35">
      <c r="A49" s="3" t="s">
        <v>14</v>
      </c>
      <c r="B49" s="4" t="s">
        <v>66</v>
      </c>
      <c r="C49" s="4" t="s">
        <v>193</v>
      </c>
      <c r="D49" s="2" t="s">
        <v>80</v>
      </c>
      <c r="E49" s="4" t="s">
        <v>194</v>
      </c>
      <c r="F49" s="5" t="s">
        <v>126</v>
      </c>
      <c r="G49" s="2" t="s">
        <v>83</v>
      </c>
      <c r="H49" s="7"/>
    </row>
    <row r="50" spans="1:8" ht="66" customHeight="1" x14ac:dyDescent="0.35">
      <c r="A50" s="3" t="s">
        <v>14</v>
      </c>
      <c r="B50" s="4" t="s">
        <v>67</v>
      </c>
      <c r="C50" s="4" t="s">
        <v>195</v>
      </c>
      <c r="D50" s="2" t="s">
        <v>80</v>
      </c>
      <c r="E50" s="4" t="s">
        <v>196</v>
      </c>
      <c r="F50" s="5" t="s">
        <v>126</v>
      </c>
      <c r="G50" s="2" t="s">
        <v>83</v>
      </c>
      <c r="H50" s="7"/>
    </row>
    <row r="51" spans="1:8" ht="66" customHeight="1" x14ac:dyDescent="0.35">
      <c r="A51" s="3" t="s">
        <v>16</v>
      </c>
      <c r="B51" s="4" t="s">
        <v>68</v>
      </c>
      <c r="C51" s="4" t="s">
        <v>197</v>
      </c>
      <c r="D51" s="2" t="s">
        <v>80</v>
      </c>
      <c r="E51" s="4" t="s">
        <v>198</v>
      </c>
      <c r="F51" s="5" t="s">
        <v>162</v>
      </c>
      <c r="G51" s="2" t="s">
        <v>83</v>
      </c>
      <c r="H51" s="7"/>
    </row>
    <row r="52" spans="1:8" ht="66" customHeight="1" x14ac:dyDescent="0.35">
      <c r="A52" s="3" t="s">
        <v>16</v>
      </c>
      <c r="B52" s="4" t="s">
        <v>69</v>
      </c>
      <c r="C52" s="4" t="s">
        <v>199</v>
      </c>
      <c r="D52" s="2" t="s">
        <v>85</v>
      </c>
      <c r="E52" s="4" t="s">
        <v>200</v>
      </c>
      <c r="F52" s="5" t="s">
        <v>201</v>
      </c>
      <c r="G52" s="2" t="s">
        <v>83</v>
      </c>
      <c r="H52" s="7"/>
    </row>
    <row r="53" spans="1:8" ht="66" customHeight="1" x14ac:dyDescent="0.35">
      <c r="A53" s="3" t="s">
        <v>16</v>
      </c>
      <c r="B53" s="4" t="s">
        <v>70</v>
      </c>
      <c r="C53" s="4" t="s">
        <v>202</v>
      </c>
      <c r="D53" s="2" t="s">
        <v>85</v>
      </c>
      <c r="E53" s="4" t="s">
        <v>203</v>
      </c>
      <c r="F53" s="5" t="s">
        <v>201</v>
      </c>
      <c r="G53" s="2" t="s">
        <v>83</v>
      </c>
      <c r="H53" s="7"/>
    </row>
    <row r="54" spans="1:8" ht="66" customHeight="1" x14ac:dyDescent="0.35">
      <c r="A54" s="3" t="s">
        <v>16</v>
      </c>
      <c r="B54" s="4" t="s">
        <v>71</v>
      </c>
      <c r="C54" s="4" t="s">
        <v>204</v>
      </c>
      <c r="D54" s="2" t="s">
        <v>85</v>
      </c>
      <c r="E54" s="4" t="s">
        <v>205</v>
      </c>
      <c r="F54" s="5" t="s">
        <v>206</v>
      </c>
      <c r="G54" s="2" t="s">
        <v>83</v>
      </c>
      <c r="H54" s="7"/>
    </row>
    <row r="55" spans="1:8" ht="66" customHeight="1" x14ac:dyDescent="0.35">
      <c r="A55" s="3" t="s">
        <v>16</v>
      </c>
      <c r="B55" s="4" t="s">
        <v>72</v>
      </c>
      <c r="C55" s="4" t="s">
        <v>207</v>
      </c>
      <c r="D55" s="2" t="s">
        <v>85</v>
      </c>
      <c r="E55" s="4" t="s">
        <v>208</v>
      </c>
      <c r="F55" s="5" t="s">
        <v>98</v>
      </c>
      <c r="G55" s="2" t="s">
        <v>83</v>
      </c>
      <c r="H55" s="7"/>
    </row>
    <row r="56" spans="1:8" ht="66" customHeight="1" x14ac:dyDescent="0.35">
      <c r="A56" s="3" t="s">
        <v>16</v>
      </c>
      <c r="B56" s="4" t="s">
        <v>73</v>
      </c>
      <c r="C56" s="4" t="s">
        <v>209</v>
      </c>
      <c r="D56" s="2" t="s">
        <v>85</v>
      </c>
      <c r="E56" s="4" t="s">
        <v>210</v>
      </c>
      <c r="F56" s="5" t="s">
        <v>211</v>
      </c>
      <c r="G56" s="2" t="s">
        <v>83</v>
      </c>
      <c r="H56" s="7"/>
    </row>
  </sheetData>
  <hyperlinks>
    <hyperlink ref="F2" r:id="rId1" xr:uid="{00000000-0004-0000-0200-000000000000}"/>
    <hyperlink ref="F3" r:id="rId2" xr:uid="{00000000-0004-0000-0200-000001000000}"/>
    <hyperlink ref="F4" r:id="rId3" xr:uid="{00000000-0004-0000-0200-000002000000}"/>
    <hyperlink ref="F5" r:id="rId4" xr:uid="{00000000-0004-0000-0200-000003000000}"/>
    <hyperlink ref="F6" r:id="rId5" xr:uid="{00000000-0004-0000-0200-000004000000}"/>
    <hyperlink ref="F7" r:id="rId6" xr:uid="{00000000-0004-0000-0200-000005000000}"/>
    <hyperlink ref="F8" r:id="rId7" xr:uid="{00000000-0004-0000-0200-000006000000}"/>
    <hyperlink ref="F9" r:id="rId8" xr:uid="{00000000-0004-0000-0200-000007000000}"/>
    <hyperlink ref="F10" r:id="rId9" xr:uid="{00000000-0004-0000-0200-000008000000}"/>
    <hyperlink ref="F11" r:id="rId10" xr:uid="{00000000-0004-0000-0200-000009000000}"/>
    <hyperlink ref="F12" r:id="rId11" xr:uid="{00000000-0004-0000-0200-00000A000000}"/>
    <hyperlink ref="F13" r:id="rId12" xr:uid="{00000000-0004-0000-0200-00000B000000}"/>
    <hyperlink ref="F14" r:id="rId13" xr:uid="{00000000-0004-0000-0200-00000C000000}"/>
    <hyperlink ref="F15" r:id="rId14" xr:uid="{00000000-0004-0000-0200-00000D000000}"/>
    <hyperlink ref="F16" r:id="rId15" xr:uid="{00000000-0004-0000-0200-00000E000000}"/>
    <hyperlink ref="F17" r:id="rId16" xr:uid="{00000000-0004-0000-0200-00000F000000}"/>
    <hyperlink ref="F18" r:id="rId17" xr:uid="{00000000-0004-0000-0200-000010000000}"/>
    <hyperlink ref="F19" r:id="rId18" xr:uid="{00000000-0004-0000-0200-000011000000}"/>
    <hyperlink ref="F20" r:id="rId19" xr:uid="{00000000-0004-0000-0200-000012000000}"/>
    <hyperlink ref="F21" r:id="rId20" xr:uid="{00000000-0004-0000-0200-000013000000}"/>
    <hyperlink ref="F22" r:id="rId21" xr:uid="{00000000-0004-0000-0200-000014000000}"/>
    <hyperlink ref="F23" r:id="rId22" xr:uid="{00000000-0004-0000-0200-000015000000}"/>
    <hyperlink ref="F24" r:id="rId23" xr:uid="{00000000-0004-0000-0200-000016000000}"/>
    <hyperlink ref="F25" r:id="rId24" xr:uid="{00000000-0004-0000-0200-000017000000}"/>
    <hyperlink ref="F26" r:id="rId25" xr:uid="{00000000-0004-0000-0200-000018000000}"/>
    <hyperlink ref="F27" r:id="rId26" xr:uid="{00000000-0004-0000-0200-000019000000}"/>
    <hyperlink ref="F28" r:id="rId27" xr:uid="{00000000-0004-0000-0200-00001A000000}"/>
    <hyperlink ref="F29" r:id="rId28" xr:uid="{00000000-0004-0000-0200-00001B000000}"/>
    <hyperlink ref="F30" r:id="rId29" xr:uid="{00000000-0004-0000-0200-00001C000000}"/>
    <hyperlink ref="F31" r:id="rId30" xr:uid="{00000000-0004-0000-0200-00001D000000}"/>
    <hyperlink ref="F32" r:id="rId31" xr:uid="{00000000-0004-0000-0200-00001E000000}"/>
    <hyperlink ref="F33" r:id="rId32" xr:uid="{00000000-0004-0000-0200-00001F000000}"/>
    <hyperlink ref="F34" r:id="rId33" xr:uid="{00000000-0004-0000-0200-000020000000}"/>
    <hyperlink ref="F35" r:id="rId34" xr:uid="{00000000-0004-0000-0200-000021000000}"/>
    <hyperlink ref="F36" r:id="rId35" xr:uid="{00000000-0004-0000-0200-000022000000}"/>
    <hyperlink ref="F37" r:id="rId36" xr:uid="{00000000-0004-0000-0200-000023000000}"/>
    <hyperlink ref="F38" r:id="rId37" xr:uid="{00000000-0004-0000-0200-000024000000}"/>
    <hyperlink ref="F39" r:id="rId38" xr:uid="{00000000-0004-0000-0200-000025000000}"/>
    <hyperlink ref="F40" r:id="rId39" xr:uid="{00000000-0004-0000-0200-000026000000}"/>
    <hyperlink ref="F41" r:id="rId40" xr:uid="{00000000-0004-0000-0200-000027000000}"/>
    <hyperlink ref="F42" r:id="rId41" xr:uid="{00000000-0004-0000-0200-000028000000}"/>
    <hyperlink ref="F43" r:id="rId42" xr:uid="{00000000-0004-0000-0200-000029000000}"/>
    <hyperlink ref="F44" r:id="rId43" xr:uid="{00000000-0004-0000-0200-00002A000000}"/>
    <hyperlink ref="F45" r:id="rId44" xr:uid="{00000000-0004-0000-0200-00002B000000}"/>
    <hyperlink ref="F46" r:id="rId45" xr:uid="{00000000-0004-0000-0200-00002C000000}"/>
    <hyperlink ref="F47" r:id="rId46" xr:uid="{00000000-0004-0000-0200-00002D000000}"/>
    <hyperlink ref="F48" r:id="rId47" xr:uid="{00000000-0004-0000-0200-00002E000000}"/>
    <hyperlink ref="F49" r:id="rId48" xr:uid="{00000000-0004-0000-0200-00002F000000}"/>
    <hyperlink ref="F50" r:id="rId49" xr:uid="{00000000-0004-0000-0200-000030000000}"/>
    <hyperlink ref="F51" r:id="rId50" xr:uid="{00000000-0004-0000-0200-000031000000}"/>
    <hyperlink ref="F52" r:id="rId51" xr:uid="{00000000-0004-0000-0200-000032000000}"/>
    <hyperlink ref="F53" r:id="rId52" xr:uid="{00000000-0004-0000-0200-000033000000}"/>
    <hyperlink ref="F54" r:id="rId53" xr:uid="{00000000-0004-0000-0200-000034000000}"/>
    <hyperlink ref="F55" r:id="rId54" xr:uid="{00000000-0004-0000-0200-000035000000}"/>
    <hyperlink ref="F56" r:id="rId55" xr:uid="{00000000-0004-0000-0200-000036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AC4C-17DE-4924-8300-2E55B35491F8}">
  <dimension ref="A1:H5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2" customWidth="1"/>
    <col min="3" max="8" width="42" customWidth="1"/>
  </cols>
  <sheetData>
    <row r="1" spans="1:8" ht="26" customHeight="1" x14ac:dyDescent="0.35">
      <c r="A1" s="1" t="s">
        <v>1</v>
      </c>
      <c r="B1" s="1" t="s">
        <v>18</v>
      </c>
      <c r="C1" s="9" t="s">
        <v>217</v>
      </c>
      <c r="D1" s="9" t="s">
        <v>216</v>
      </c>
      <c r="E1" s="9" t="s">
        <v>215</v>
      </c>
      <c r="F1" s="9" t="s">
        <v>218</v>
      </c>
      <c r="G1" s="9" t="s">
        <v>219</v>
      </c>
      <c r="H1" s="9" t="s">
        <v>220</v>
      </c>
    </row>
    <row r="2" spans="1:8" ht="66" customHeight="1" x14ac:dyDescent="0.35">
      <c r="A2" s="3" t="s">
        <v>3</v>
      </c>
      <c r="B2" s="4" t="s">
        <v>19</v>
      </c>
      <c r="C2" s="7"/>
      <c r="D2" s="7"/>
      <c r="E2" s="7"/>
      <c r="F2" s="7"/>
      <c r="G2" s="7"/>
      <c r="H2" s="7"/>
    </row>
    <row r="3" spans="1:8" ht="66" customHeight="1" x14ac:dyDescent="0.35">
      <c r="A3" s="3" t="s">
        <v>3</v>
      </c>
      <c r="B3" s="4" t="s">
        <v>20</v>
      </c>
      <c r="C3" s="8"/>
      <c r="D3" s="8"/>
      <c r="E3" s="8"/>
      <c r="F3" s="8"/>
      <c r="G3" s="8"/>
      <c r="H3" s="8"/>
    </row>
    <row r="4" spans="1:8" ht="66" customHeight="1" x14ac:dyDescent="0.35">
      <c r="A4" s="3" t="s">
        <v>3</v>
      </c>
      <c r="B4" s="4" t="s">
        <v>21</v>
      </c>
      <c r="C4" s="7"/>
      <c r="D4" s="7"/>
      <c r="E4" s="7"/>
      <c r="F4" s="7"/>
      <c r="G4" s="7"/>
      <c r="H4" s="7"/>
    </row>
    <row r="5" spans="1:8" ht="66" customHeight="1" x14ac:dyDescent="0.35">
      <c r="A5" s="3" t="s">
        <v>3</v>
      </c>
      <c r="B5" s="4" t="s">
        <v>22</v>
      </c>
      <c r="C5" s="7"/>
      <c r="D5" s="7"/>
      <c r="E5" s="7"/>
      <c r="F5" s="7"/>
      <c r="G5" s="7"/>
      <c r="H5" s="7"/>
    </row>
    <row r="6" spans="1:8" ht="66" customHeight="1" x14ac:dyDescent="0.35">
      <c r="A6" s="3" t="s">
        <v>3</v>
      </c>
      <c r="B6" s="4" t="s">
        <v>23</v>
      </c>
      <c r="C6" s="7"/>
      <c r="D6" s="7"/>
      <c r="E6" s="7"/>
      <c r="F6" s="7"/>
      <c r="G6" s="7"/>
      <c r="H6" s="7"/>
    </row>
    <row r="7" spans="1:8" ht="66" customHeight="1" x14ac:dyDescent="0.35">
      <c r="A7" s="3" t="s">
        <v>3</v>
      </c>
      <c r="B7" s="4" t="s">
        <v>24</v>
      </c>
      <c r="C7" s="7"/>
      <c r="D7" s="7"/>
      <c r="E7" s="7"/>
      <c r="F7" s="7"/>
      <c r="G7" s="7"/>
      <c r="H7" s="7"/>
    </row>
    <row r="8" spans="1:8" ht="66" customHeight="1" x14ac:dyDescent="0.35">
      <c r="A8" s="3" t="s">
        <v>3</v>
      </c>
      <c r="B8" s="4" t="s">
        <v>25</v>
      </c>
      <c r="C8" s="7"/>
      <c r="D8" s="7"/>
      <c r="E8" s="7"/>
      <c r="F8" s="7"/>
      <c r="G8" s="7"/>
      <c r="H8" s="7"/>
    </row>
    <row r="9" spans="1:8" ht="66" customHeight="1" x14ac:dyDescent="0.35">
      <c r="A9" s="3" t="s">
        <v>5</v>
      </c>
      <c r="B9" s="4" t="s">
        <v>26</v>
      </c>
      <c r="C9" s="7"/>
      <c r="D9" s="7"/>
      <c r="E9" s="7"/>
      <c r="F9" s="7"/>
      <c r="G9" s="7"/>
      <c r="H9" s="7"/>
    </row>
    <row r="10" spans="1:8" ht="66" customHeight="1" x14ac:dyDescent="0.35">
      <c r="A10" s="3" t="s">
        <v>5</v>
      </c>
      <c r="B10" s="4" t="s">
        <v>27</v>
      </c>
      <c r="C10" s="7"/>
      <c r="D10" s="7"/>
      <c r="E10" s="7"/>
      <c r="F10" s="7"/>
      <c r="G10" s="7"/>
      <c r="H10" s="7"/>
    </row>
    <row r="11" spans="1:8" ht="66" customHeight="1" x14ac:dyDescent="0.35">
      <c r="A11" s="3" t="s">
        <v>5</v>
      </c>
      <c r="B11" s="4" t="s">
        <v>28</v>
      </c>
      <c r="C11" s="7"/>
      <c r="D11" s="7"/>
      <c r="E11" s="7"/>
      <c r="F11" s="7"/>
      <c r="G11" s="7"/>
      <c r="H11" s="7"/>
    </row>
    <row r="12" spans="1:8" ht="66" customHeight="1" x14ac:dyDescent="0.35">
      <c r="A12" s="3" t="s">
        <v>5</v>
      </c>
      <c r="B12" s="4" t="s">
        <v>29</v>
      </c>
      <c r="C12" s="7"/>
      <c r="D12" s="7"/>
      <c r="E12" s="7"/>
      <c r="F12" s="7"/>
      <c r="G12" s="7"/>
      <c r="H12" s="7"/>
    </row>
    <row r="13" spans="1:8" ht="66" customHeight="1" x14ac:dyDescent="0.35">
      <c r="A13" s="3" t="s">
        <v>5</v>
      </c>
      <c r="B13" s="4" t="s">
        <v>30</v>
      </c>
      <c r="C13" s="7"/>
      <c r="D13" s="7"/>
      <c r="E13" s="7"/>
      <c r="F13" s="7"/>
      <c r="G13" s="7"/>
      <c r="H13" s="7"/>
    </row>
    <row r="14" spans="1:8" ht="66" customHeight="1" x14ac:dyDescent="0.35">
      <c r="A14" s="3" t="s">
        <v>5</v>
      </c>
      <c r="B14" s="4" t="s">
        <v>31</v>
      </c>
      <c r="C14" s="7"/>
      <c r="D14" s="7"/>
      <c r="E14" s="7"/>
      <c r="F14" s="7"/>
      <c r="G14" s="7"/>
      <c r="H14" s="7"/>
    </row>
    <row r="15" spans="1:8" ht="66" customHeight="1" x14ac:dyDescent="0.35">
      <c r="A15" s="3" t="s">
        <v>6</v>
      </c>
      <c r="B15" s="4" t="s">
        <v>32</v>
      </c>
      <c r="C15" s="7"/>
      <c r="D15" s="7"/>
      <c r="E15" s="7"/>
      <c r="F15" s="7"/>
      <c r="G15" s="7"/>
      <c r="H15" s="7"/>
    </row>
    <row r="16" spans="1:8" ht="66" customHeight="1" x14ac:dyDescent="0.35">
      <c r="A16" s="3" t="s">
        <v>6</v>
      </c>
      <c r="B16" s="4" t="s">
        <v>33</v>
      </c>
      <c r="C16" s="7"/>
      <c r="D16" s="7"/>
      <c r="E16" s="7"/>
      <c r="F16" s="7"/>
      <c r="G16" s="7"/>
      <c r="H16" s="7"/>
    </row>
    <row r="17" spans="1:8" ht="66" customHeight="1" x14ac:dyDescent="0.35">
      <c r="A17" s="3" t="s">
        <v>6</v>
      </c>
      <c r="B17" s="4" t="s">
        <v>34</v>
      </c>
      <c r="C17" s="7"/>
      <c r="D17" s="7"/>
      <c r="E17" s="7"/>
      <c r="F17" s="7"/>
      <c r="G17" s="7"/>
      <c r="H17" s="7"/>
    </row>
    <row r="18" spans="1:8" ht="66" customHeight="1" x14ac:dyDescent="0.35">
      <c r="A18" s="3" t="s">
        <v>6</v>
      </c>
      <c r="B18" s="4" t="s">
        <v>35</v>
      </c>
      <c r="C18" s="7"/>
      <c r="D18" s="7"/>
      <c r="E18" s="7"/>
      <c r="F18" s="7"/>
      <c r="G18" s="7"/>
      <c r="H18" s="7"/>
    </row>
    <row r="19" spans="1:8" ht="66" customHeight="1" x14ac:dyDescent="0.35">
      <c r="A19" s="3" t="s">
        <v>6</v>
      </c>
      <c r="B19" s="4" t="s">
        <v>36</v>
      </c>
      <c r="C19" s="7"/>
      <c r="D19" s="7"/>
      <c r="E19" s="7"/>
      <c r="F19" s="7"/>
      <c r="G19" s="7"/>
      <c r="H19" s="7"/>
    </row>
    <row r="20" spans="1:8" ht="66" customHeight="1" x14ac:dyDescent="0.35">
      <c r="A20" s="3" t="s">
        <v>6</v>
      </c>
      <c r="B20" s="4" t="s">
        <v>37</v>
      </c>
      <c r="C20" s="7"/>
      <c r="D20" s="7"/>
      <c r="E20" s="7"/>
      <c r="F20" s="7"/>
      <c r="G20" s="7"/>
      <c r="H20" s="7"/>
    </row>
    <row r="21" spans="1:8" ht="66" customHeight="1" x14ac:dyDescent="0.35">
      <c r="A21" s="3" t="s">
        <v>6</v>
      </c>
      <c r="B21" s="4" t="s">
        <v>38</v>
      </c>
      <c r="C21" s="7"/>
      <c r="D21" s="7"/>
      <c r="E21" s="7"/>
      <c r="F21" s="7"/>
      <c r="G21" s="7"/>
      <c r="H21" s="7"/>
    </row>
    <row r="22" spans="1:8" ht="66" customHeight="1" x14ac:dyDescent="0.35">
      <c r="A22" s="3" t="s">
        <v>6</v>
      </c>
      <c r="B22" s="4" t="s">
        <v>39</v>
      </c>
      <c r="C22" s="7"/>
      <c r="D22" s="7"/>
      <c r="E22" s="7"/>
      <c r="F22" s="7"/>
      <c r="G22" s="7"/>
      <c r="H22" s="7"/>
    </row>
    <row r="23" spans="1:8" ht="66" customHeight="1" x14ac:dyDescent="0.35">
      <c r="A23" s="3" t="s">
        <v>7</v>
      </c>
      <c r="B23" s="4" t="s">
        <v>40</v>
      </c>
      <c r="C23" s="7"/>
      <c r="D23" s="7"/>
      <c r="E23" s="7"/>
      <c r="F23" s="7"/>
      <c r="G23" s="7"/>
      <c r="H23" s="7"/>
    </row>
    <row r="24" spans="1:8" ht="66" customHeight="1" x14ac:dyDescent="0.35">
      <c r="A24" s="3" t="s">
        <v>7</v>
      </c>
      <c r="B24" s="4" t="s">
        <v>41</v>
      </c>
      <c r="C24" s="7"/>
      <c r="D24" s="7"/>
      <c r="E24" s="7"/>
      <c r="F24" s="7"/>
      <c r="G24" s="7"/>
      <c r="H24" s="7"/>
    </row>
    <row r="25" spans="1:8" ht="66" customHeight="1" x14ac:dyDescent="0.35">
      <c r="A25" s="3" t="s">
        <v>7</v>
      </c>
      <c r="B25" s="4" t="s">
        <v>42</v>
      </c>
      <c r="C25" s="7"/>
      <c r="D25" s="7"/>
      <c r="E25" s="7"/>
      <c r="F25" s="7"/>
      <c r="G25" s="7"/>
      <c r="H25" s="7"/>
    </row>
    <row r="26" spans="1:8" ht="66" customHeight="1" x14ac:dyDescent="0.35">
      <c r="A26" s="3" t="s">
        <v>7</v>
      </c>
      <c r="B26" s="4" t="s">
        <v>43</v>
      </c>
      <c r="C26" s="7"/>
      <c r="D26" s="7"/>
      <c r="E26" s="7"/>
      <c r="F26" s="7"/>
      <c r="G26" s="7"/>
      <c r="H26" s="7"/>
    </row>
    <row r="27" spans="1:8" ht="66" customHeight="1" x14ac:dyDescent="0.35">
      <c r="A27" s="3" t="s">
        <v>7</v>
      </c>
      <c r="B27" s="4" t="s">
        <v>44</v>
      </c>
      <c r="C27" s="7"/>
      <c r="D27" s="7"/>
      <c r="E27" s="7"/>
      <c r="F27" s="7"/>
      <c r="G27" s="7"/>
      <c r="H27" s="7"/>
    </row>
    <row r="28" spans="1:8" ht="66" customHeight="1" x14ac:dyDescent="0.35">
      <c r="A28" s="3" t="s">
        <v>7</v>
      </c>
      <c r="B28" s="4" t="s">
        <v>45</v>
      </c>
      <c r="C28" s="7"/>
      <c r="D28" s="7"/>
      <c r="E28" s="7"/>
      <c r="F28" s="7"/>
      <c r="G28" s="7"/>
      <c r="H28" s="7"/>
    </row>
    <row r="29" spans="1:8" ht="66" customHeight="1" x14ac:dyDescent="0.35">
      <c r="A29" s="3" t="s">
        <v>8</v>
      </c>
      <c r="B29" s="4" t="s">
        <v>46</v>
      </c>
      <c r="C29" s="7"/>
      <c r="D29" s="7"/>
      <c r="E29" s="7"/>
      <c r="F29" s="7"/>
      <c r="G29" s="7"/>
      <c r="H29" s="7"/>
    </row>
    <row r="30" spans="1:8" ht="66" customHeight="1" x14ac:dyDescent="0.35">
      <c r="A30" s="3" t="s">
        <v>8</v>
      </c>
      <c r="B30" s="4" t="s">
        <v>47</v>
      </c>
      <c r="C30" s="7"/>
      <c r="D30" s="7"/>
      <c r="E30" s="7"/>
      <c r="F30" s="7"/>
      <c r="G30" s="7"/>
      <c r="H30" s="7"/>
    </row>
    <row r="31" spans="1:8" ht="66" customHeight="1" x14ac:dyDescent="0.35">
      <c r="A31" s="3" t="s">
        <v>8</v>
      </c>
      <c r="B31" s="4" t="s">
        <v>48</v>
      </c>
      <c r="C31" s="7"/>
      <c r="D31" s="7"/>
      <c r="E31" s="7"/>
      <c r="F31" s="7"/>
      <c r="G31" s="7"/>
      <c r="H31" s="7"/>
    </row>
    <row r="32" spans="1:8" ht="66" customHeight="1" x14ac:dyDescent="0.35">
      <c r="A32" s="3" t="s">
        <v>8</v>
      </c>
      <c r="B32" s="4" t="s">
        <v>49</v>
      </c>
      <c r="C32" s="7"/>
      <c r="D32" s="7"/>
      <c r="E32" s="7"/>
      <c r="F32" s="7"/>
      <c r="G32" s="7"/>
      <c r="H32" s="7"/>
    </row>
    <row r="33" spans="1:8" ht="66" customHeight="1" x14ac:dyDescent="0.35">
      <c r="A33" s="3" t="s">
        <v>10</v>
      </c>
      <c r="B33" s="4" t="s">
        <v>50</v>
      </c>
      <c r="C33" s="7"/>
      <c r="D33" s="7"/>
      <c r="E33" s="7"/>
      <c r="F33" s="7"/>
      <c r="G33" s="7"/>
      <c r="H33" s="7"/>
    </row>
    <row r="34" spans="1:8" ht="66" customHeight="1" x14ac:dyDescent="0.35">
      <c r="A34" s="3" t="s">
        <v>10</v>
      </c>
      <c r="B34" s="4" t="s">
        <v>51</v>
      </c>
      <c r="C34" s="7"/>
      <c r="D34" s="7"/>
      <c r="E34" s="7"/>
      <c r="F34" s="7"/>
      <c r="G34" s="7"/>
      <c r="H34" s="7"/>
    </row>
    <row r="35" spans="1:8" ht="66" customHeight="1" x14ac:dyDescent="0.35">
      <c r="A35" s="3" t="s">
        <v>10</v>
      </c>
      <c r="B35" s="4" t="s">
        <v>52</v>
      </c>
      <c r="C35" s="7"/>
      <c r="D35" s="7"/>
      <c r="E35" s="7"/>
      <c r="F35" s="7"/>
      <c r="G35" s="7"/>
      <c r="H35" s="7"/>
    </row>
    <row r="36" spans="1:8" ht="66" customHeight="1" x14ac:dyDescent="0.35">
      <c r="A36" s="3" t="s">
        <v>10</v>
      </c>
      <c r="B36" s="4" t="s">
        <v>53</v>
      </c>
      <c r="C36" s="7"/>
      <c r="D36" s="7"/>
      <c r="E36" s="7"/>
      <c r="F36" s="7"/>
      <c r="G36" s="7"/>
      <c r="H36" s="7"/>
    </row>
    <row r="37" spans="1:8" ht="66" customHeight="1" x14ac:dyDescent="0.35">
      <c r="A37" s="3" t="s">
        <v>10</v>
      </c>
      <c r="B37" s="4" t="s">
        <v>54</v>
      </c>
      <c r="C37" s="7"/>
      <c r="D37" s="7"/>
      <c r="E37" s="7"/>
      <c r="F37" s="7"/>
      <c r="G37" s="7"/>
      <c r="H37" s="7"/>
    </row>
    <row r="38" spans="1:8" ht="66" customHeight="1" x14ac:dyDescent="0.35">
      <c r="A38" s="3" t="s">
        <v>10</v>
      </c>
      <c r="B38" s="4" t="s">
        <v>55</v>
      </c>
      <c r="C38" s="7"/>
      <c r="D38" s="7"/>
      <c r="E38" s="7"/>
      <c r="F38" s="7"/>
      <c r="G38" s="7"/>
      <c r="H38" s="7"/>
    </row>
    <row r="39" spans="1:8" ht="66" customHeight="1" x14ac:dyDescent="0.35">
      <c r="A39" s="3" t="s">
        <v>12</v>
      </c>
      <c r="B39" s="4" t="s">
        <v>56</v>
      </c>
      <c r="C39" s="7"/>
      <c r="D39" s="7"/>
      <c r="E39" s="7"/>
      <c r="F39" s="7"/>
      <c r="G39" s="7"/>
      <c r="H39" s="7"/>
    </row>
    <row r="40" spans="1:8" ht="66" customHeight="1" x14ac:dyDescent="0.35">
      <c r="A40" s="3" t="s">
        <v>12</v>
      </c>
      <c r="B40" s="4" t="s">
        <v>57</v>
      </c>
      <c r="C40" s="7"/>
      <c r="D40" s="7"/>
      <c r="E40" s="7"/>
      <c r="F40" s="7"/>
      <c r="G40" s="7"/>
      <c r="H40" s="7"/>
    </row>
    <row r="41" spans="1:8" ht="66" customHeight="1" x14ac:dyDescent="0.35">
      <c r="A41" s="3" t="s">
        <v>12</v>
      </c>
      <c r="B41" s="4" t="s">
        <v>58</v>
      </c>
      <c r="C41" s="7"/>
      <c r="D41" s="7"/>
      <c r="E41" s="7"/>
      <c r="F41" s="7"/>
      <c r="G41" s="7"/>
      <c r="H41" s="7"/>
    </row>
    <row r="42" spans="1:8" ht="66" customHeight="1" x14ac:dyDescent="0.35">
      <c r="A42" s="3" t="s">
        <v>12</v>
      </c>
      <c r="B42" s="4" t="s">
        <v>59</v>
      </c>
      <c r="C42" s="7"/>
      <c r="D42" s="7"/>
      <c r="E42" s="7"/>
      <c r="F42" s="7"/>
      <c r="G42" s="7"/>
      <c r="H42" s="7"/>
    </row>
    <row r="43" spans="1:8" ht="66" customHeight="1" x14ac:dyDescent="0.35">
      <c r="A43" s="3" t="s">
        <v>12</v>
      </c>
      <c r="B43" s="4" t="s">
        <v>60</v>
      </c>
      <c r="C43" s="7"/>
      <c r="D43" s="7"/>
      <c r="E43" s="7"/>
      <c r="F43" s="7"/>
      <c r="G43" s="7"/>
      <c r="H43" s="7"/>
    </row>
    <row r="44" spans="1:8" ht="66" customHeight="1" x14ac:dyDescent="0.35">
      <c r="A44" s="3" t="s">
        <v>12</v>
      </c>
      <c r="B44" s="4" t="s">
        <v>61</v>
      </c>
      <c r="C44" s="7"/>
      <c r="D44" s="7"/>
      <c r="E44" s="7"/>
      <c r="F44" s="7"/>
      <c r="G44" s="7"/>
      <c r="H44" s="7"/>
    </row>
    <row r="45" spans="1:8" ht="66" customHeight="1" x14ac:dyDescent="0.35">
      <c r="A45" s="3" t="s">
        <v>14</v>
      </c>
      <c r="B45" s="4" t="s">
        <v>62</v>
      </c>
      <c r="C45" s="7"/>
      <c r="D45" s="7"/>
      <c r="E45" s="7"/>
      <c r="F45" s="7"/>
      <c r="G45" s="7"/>
      <c r="H45" s="7"/>
    </row>
    <row r="46" spans="1:8" ht="66" customHeight="1" x14ac:dyDescent="0.35">
      <c r="A46" s="3" t="s">
        <v>14</v>
      </c>
      <c r="B46" s="4" t="s">
        <v>63</v>
      </c>
      <c r="C46" s="7"/>
      <c r="D46" s="7"/>
      <c r="E46" s="7"/>
      <c r="F46" s="7"/>
      <c r="G46" s="7"/>
      <c r="H46" s="7"/>
    </row>
    <row r="47" spans="1:8" ht="66" customHeight="1" x14ac:dyDescent="0.35">
      <c r="A47" s="3" t="s">
        <v>14</v>
      </c>
      <c r="B47" s="4" t="s">
        <v>64</v>
      </c>
      <c r="C47" s="7"/>
      <c r="D47" s="7"/>
      <c r="E47" s="7"/>
      <c r="F47" s="7"/>
      <c r="G47" s="7"/>
      <c r="H47" s="7"/>
    </row>
    <row r="48" spans="1:8" ht="66" customHeight="1" x14ac:dyDescent="0.35">
      <c r="A48" s="3" t="s">
        <v>14</v>
      </c>
      <c r="B48" s="4" t="s">
        <v>65</v>
      </c>
      <c r="C48" s="7"/>
      <c r="D48" s="7"/>
      <c r="E48" s="7"/>
      <c r="F48" s="7"/>
      <c r="G48" s="7"/>
      <c r="H48" s="7"/>
    </row>
    <row r="49" spans="1:8" ht="66" customHeight="1" x14ac:dyDescent="0.35">
      <c r="A49" s="3" t="s">
        <v>14</v>
      </c>
      <c r="B49" s="4" t="s">
        <v>66</v>
      </c>
      <c r="C49" s="7"/>
      <c r="D49" s="7"/>
      <c r="E49" s="7"/>
      <c r="F49" s="7"/>
      <c r="G49" s="7"/>
      <c r="H49" s="7"/>
    </row>
    <row r="50" spans="1:8" ht="66" customHeight="1" x14ac:dyDescent="0.35">
      <c r="A50" s="3" t="s">
        <v>14</v>
      </c>
      <c r="B50" s="4" t="s">
        <v>67</v>
      </c>
      <c r="C50" s="7"/>
      <c r="D50" s="7"/>
      <c r="E50" s="7"/>
      <c r="F50" s="7"/>
      <c r="G50" s="7"/>
      <c r="H50" s="7"/>
    </row>
    <row r="51" spans="1:8" ht="66" customHeight="1" x14ac:dyDescent="0.35">
      <c r="A51" s="3" t="s">
        <v>16</v>
      </c>
      <c r="B51" s="4" t="s">
        <v>68</v>
      </c>
      <c r="C51" s="7"/>
      <c r="D51" s="7"/>
      <c r="E51" s="7"/>
      <c r="F51" s="7"/>
      <c r="G51" s="7"/>
      <c r="H51" s="7"/>
    </row>
    <row r="52" spans="1:8" ht="66" customHeight="1" x14ac:dyDescent="0.35">
      <c r="A52" s="3" t="s">
        <v>16</v>
      </c>
      <c r="B52" s="4" t="s">
        <v>69</v>
      </c>
      <c r="C52" s="7"/>
      <c r="D52" s="7"/>
      <c r="E52" s="7"/>
      <c r="F52" s="7"/>
      <c r="G52" s="7"/>
      <c r="H52" s="7"/>
    </row>
    <row r="53" spans="1:8" ht="66" customHeight="1" x14ac:dyDescent="0.35">
      <c r="A53" s="3" t="s">
        <v>16</v>
      </c>
      <c r="B53" s="4" t="s">
        <v>70</v>
      </c>
      <c r="C53" s="7"/>
      <c r="D53" s="7"/>
      <c r="E53" s="7"/>
      <c r="F53" s="7"/>
      <c r="G53" s="7"/>
      <c r="H53" s="7"/>
    </row>
    <row r="54" spans="1:8" ht="66" customHeight="1" x14ac:dyDescent="0.35">
      <c r="A54" s="3" t="s">
        <v>16</v>
      </c>
      <c r="B54" s="4" t="s">
        <v>71</v>
      </c>
      <c r="C54" s="7"/>
      <c r="D54" s="7"/>
      <c r="E54" s="7"/>
      <c r="F54" s="7"/>
      <c r="G54" s="7"/>
      <c r="H54" s="7"/>
    </row>
    <row r="55" spans="1:8" ht="66" customHeight="1" x14ac:dyDescent="0.35">
      <c r="A55" s="3" t="s">
        <v>16</v>
      </c>
      <c r="B55" s="4" t="s">
        <v>72</v>
      </c>
      <c r="C55" s="7"/>
      <c r="D55" s="7"/>
      <c r="E55" s="7"/>
      <c r="F55" s="7"/>
      <c r="G55" s="7"/>
      <c r="H55" s="7"/>
    </row>
    <row r="56" spans="1:8" ht="66" customHeight="1" x14ac:dyDescent="0.35">
      <c r="A56" s="3" t="s">
        <v>16</v>
      </c>
      <c r="B56" s="4" t="s">
        <v>73</v>
      </c>
      <c r="C56" s="7"/>
      <c r="D56" s="7"/>
      <c r="E56" s="7"/>
      <c r="F56" s="7"/>
      <c r="G56" s="7"/>
      <c r="H5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Dimensões de Critérios</vt:lpstr>
      <vt:lpstr>Critérios</vt:lpstr>
      <vt:lpstr>Matriz de Critérios e Premissas</vt:lpstr>
      <vt:lpstr>Matriz Projetos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DO PRADO CAPANEMA</cp:lastModifiedBy>
  <dcterms:created xsi:type="dcterms:W3CDTF">2026-06-08T22:50:36Z</dcterms:created>
  <dcterms:modified xsi:type="dcterms:W3CDTF">2026-07-15T21:21:14Z</dcterms:modified>
</cp:coreProperties>
</file>