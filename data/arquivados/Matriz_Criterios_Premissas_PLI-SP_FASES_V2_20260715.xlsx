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_web\data\"/>
    </mc:Choice>
  </mc:AlternateContent>
  <xr:revisionPtr revIDLastSave="0" documentId="13_ncr:1_{650AEB4F-8DB4-4158-B11A-13BD55315660}" xr6:coauthVersionLast="47" xr6:coauthVersionMax="47" xr10:uidLastSave="{00000000-0000-0000-0000-000000000000}"/>
  <bookViews>
    <workbookView xWindow="0" yWindow="360" windowWidth="25820" windowHeight="15500" firstSheet="2" activeTab="2" xr2:uid="{00000000-000D-0000-FFFF-FFFF00000000}"/>
  </bookViews>
  <sheets>
    <sheet name="Dimensões de Critérios" sheetId="1" r:id="rId1"/>
    <sheet name="Critérios" sheetId="2" r:id="rId2"/>
    <sheet name="Matriz Crit Premissas v2" sheetId="3" r:id="rId3"/>
  </sheets>
  <definedNames>
    <definedName name="_xlnm._FilterDatabase" localSheetId="2" hidden="1">'Matriz Crit Premissas v2'!$A$1:$M$56</definedName>
  </definedNames>
  <calcPr calcId="0"/>
</workbook>
</file>

<file path=xl/sharedStrings.xml><?xml version="1.0" encoding="utf-8"?>
<sst xmlns="http://schemas.openxmlformats.org/spreadsheetml/2006/main" count="807" uniqueCount="404">
  <si>
    <t>Dimensão</t>
  </si>
  <si>
    <t>Fase</t>
  </si>
  <si>
    <t>Critério</t>
  </si>
  <si>
    <t>Premissa</t>
  </si>
  <si>
    <t>Classificação</t>
  </si>
  <si>
    <t>Dado</t>
  </si>
  <si>
    <t>Variável</t>
  </si>
  <si>
    <t>Unidade de medida</t>
  </si>
  <si>
    <t>Operador</t>
  </si>
  <si>
    <t>Relação</t>
  </si>
  <si>
    <t>Métricas</t>
  </si>
  <si>
    <t>Fonte</t>
  </si>
  <si>
    <t>Mandatório</t>
  </si>
  <si>
    <t>Técnica</t>
  </si>
  <si>
    <t>Proximidade com segmentos rodoviários de VDM alto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</si>
  <si>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</si>
  <si>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rede</t>
  </si>
  <si>
    <t>VDM — Volume Diário Médio. O volume diário médio mede a demanda de tráfego já instalada no trecho.</t>
  </si>
  <si>
    <t>Valor por célula de 100x100 m da superfície de distância euclidiana ponderada pelo VDM dos segmentos rodoviários</t>
  </si>
  <si>
    <t>veículos/dia</t>
  </si>
  <si>
    <t>Distância euclidiana a feições lineares ou pontuais, ponderada pelo atributo, com decaimento gaussiano; apropriada quando a influência é locacional e contínua no espaço.</t>
  </si>
  <si>
    <t>↑ Positiva</t>
  </si>
  <si>
    <t>veículos/dia (VDM); modelo gravitacional</t>
  </si>
  <si>
    <t>https://www.gov.uk/guidance/transport-analysis-guidance-tag</t>
  </si>
  <si>
    <t>Não</t>
  </si>
  <si>
    <t>Proximidade com segmentos de saturação elevada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</si>
  <si>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</si>
  <si>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Nível de Serviço (NS) / Saturação. O nível de serviço traduz a relação entre a demanda e a capacidade da via.</t>
  </si>
  <si>
    <t>Valor por célula de 100x100 m da superfície de distância euclidiana ponderada pelo índice de saturação V/C ou pelo NS crítico</t>
  </si>
  <si>
    <t>relação V/C</t>
  </si>
  <si>
    <t>↓ Negativa</t>
  </si>
  <si>
    <t>NS de A a F; relação V/C no ano base e no futuro</t>
  </si>
  <si>
    <t>https://www.trb.org/Main/Blurbs/175169.aspx</t>
  </si>
  <si>
    <t>Proximidade com segmentos de lentidão recorrente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</si>
  <si>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</si>
  <si>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Congestionamento real ("tempo lento"). A lentidão observada em plataformas de mapeamento em tempo real revela gargalos de capacidade que nem sempre aparecem nas contagens oficiais.</t>
  </si>
  <si>
    <t>Valor por célula de 100x100 m da superfície de distância euclidiana ponderada pelo excedente de tempo em relação ao fluxo livre</t>
  </si>
  <si>
    <t>minutos</t>
  </si>
  <si>
    <t>minutos adicionais em relação ao fluxo livre (Google API)</t>
  </si>
  <si>
    <t>Proximidade com segmentos de pavimento degradado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</si>
  <si>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</si>
  <si>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Estado de conservação do pavimento. A condição do pavimento afeta diretamente o custo operacional dos veículos, a segurança e a vida útil da via.</t>
  </si>
  <si>
    <t>Valor por célula de 100x100 m da superfície de distância euclidiana ponderada pelo índice de degradação do pavimento</t>
  </si>
  <si>
    <t>índice IRI/PCI</t>
  </si>
  <si>
    <t>IRI/PCI; idade do pavimento</t>
  </si>
  <si>
    <t>https://documents.worldbank.org/en/publication/documents-reports/documentdetail/793271468171847482</t>
  </si>
  <si>
    <t>Proximidade com segmentos de geometria deficiente</t>
  </si>
  <si>
    <t>Rampas acentuadas, alças mal dimensionadas e raios de curva inadequados reduzem a capacidade e elevam o risco de acidentes. Corrigir essas deficiências geométricas melhora, ao mesmo tempo, a fluidez e a segurança.</t>
  </si>
  <si>
    <t>Deficiência geométrica (rampas, alças e raios). Rampas acentuadas, alças mal dimensionadas e raios de curva inadequados reduzem a capacidade e elevam o risco de acidentes.</t>
  </si>
  <si>
    <t>Valor por célula de 100x100 m da superfície de distância euclidiana ponderada pelo índice de deficiência geométrica dos segmentos</t>
  </si>
  <si>
    <t>índice geométrico</t>
  </si>
  <si>
    <t>% de inclinação; raio de curva (m); velocidade (km/h)</t>
  </si>
  <si>
    <t>https://irap.org/rap-tools/infrastructure-ratings/star-ratings/</t>
  </si>
  <si>
    <t>Maior prontidão para implantação</t>
  </si>
  <si>
    <t>Projetos com estudos e projeto executivo mais avançados podem ser licitados e entregues mais cedo, o que antecipa os benefícios à sociedade e reduz o risco de atraso na implantação.</t>
  </si>
  <si>
    <t>atributo de projeto</t>
  </si>
  <si>
    <t>Prontidão / maturidade do projeto</t>
  </si>
  <si>
    <t>Valor por célula de 100x100 m do raster de escore ordinal de maturidade do projeto</t>
  </si>
  <si>
    <t>escala ordinal</t>
  </si>
  <si>
    <t>Rasterização por atribuição direta do escore do projeto às células de 100x100 m ocupadas pelo objeto candidato; adequada quando o critério é intrínseco ao projeto.</t>
  </si>
  <si>
    <t>escala: ideia, estudo, projeto básico, projeto executivo</t>
  </si>
  <si>
    <t>https://www.gov.uk/government/publications/the-green-book-appraisal-and-evaluation-in-central-government</t>
  </si>
  <si>
    <t>Proximidade com segmentos de forte sobrecarga sazonal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</si>
  <si>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</si>
  <si>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Tráfego sazonal (fins de semana e feriados). Rodovias turísticas e de escoamento de safra sofrem picos sazonais que sobrecarregam a capacidade em fins de semana, feriados e épocas de colheita.</t>
  </si>
  <si>
    <t>Valor por célula de 100x100 m da superfície de distância euclidiana ponderada pela razão entre tráfego sazonal e tráfego médio</t>
  </si>
  <si>
    <t>razão entre VDM sazonal e VDM médio</t>
  </si>
  <si>
    <t>Financeiro</t>
  </si>
  <si>
    <t>Menor custo de investimento por benefício esperado</t>
  </si>
  <si>
    <t>O custo de investimento determina o volume de recursos públicos imobilizados. Projetos com menor Capex para um benefício equivalente liberam orçamento para mais intervenções e ampliam o alcance da carteira.</t>
  </si>
  <si>
    <t>Capex (custo de investimento). O custo de investimento determina o volume de recursos públicos imobilizados.</t>
  </si>
  <si>
    <t>Valor por célula de 100x100 m do raster de custo total de investimento ou custo unitário normalizado</t>
  </si>
  <si>
    <t>R$</t>
  </si>
  <si>
    <t>R$ (custo total de investimento)</t>
  </si>
  <si>
    <t>https://www.transportation.gov/mission/office-secretary/office-policy/transportation-policy/benefit-cost-analysis-guidance</t>
  </si>
  <si>
    <t>Menor custo operacional ao longo da vida útil</t>
  </si>
  <si>
    <t>Os custos de operação e manutenção comprometem o orçamento ao longo de toda a vida útil do ativo. Projetos com menor Opex são financeiramente mais sustentáveis no longo prazo.</t>
  </si>
  <si>
    <t>Opex (operação e manutenção). Os custos de operação e manutenção comprometem o orçamento ao longo de toda a vida útil do ativo.</t>
  </si>
  <si>
    <t>Valor por célula de 100x100 m do raster de custo anual equivalente de operação e manutenção</t>
  </si>
  <si>
    <t>R$/ano</t>
  </si>
  <si>
    <t>Maior retorno econômico por unidade investida</t>
  </si>
  <si>
    <t>A relação benefício/custo, o valor presente líquido (VPL) e a taxa interna de retorno (TIR) sintetizam o retorno por real investido. Quanto maior o retorno, maior a eficiência da aplicação dos recursos públicos.</t>
  </si>
  <si>
    <t>Relação benefício/custo. A relação benefício/custo, o valor presente líquido (VPL) e a taxa interna de retorno (TIR) sintetizam o retorno por real investido.</t>
  </si>
  <si>
    <t>Valor por célula de 100x100 m do raster de índice benefício/custo ou escore financeiro consolidado</t>
  </si>
  <si>
    <t>índice B/C</t>
  </si>
  <si>
    <t>B/C; VPL; TIR</t>
  </si>
  <si>
    <t>Maior atratividade para financiamento privado</t>
  </si>
  <si>
    <t>Projetos com potencial de concessão ou de parceria público-privada permitem alavancar capital privado, o que preserva o caixa do Estado e amplia a capacidade de investimento.</t>
  </si>
  <si>
    <t>Potencial de financiamento privado / concessão</t>
  </si>
  <si>
    <t>Valor por célula de 100x100 m do raster de percentual potencial de alavancagem privada</t>
  </si>
  <si>
    <t>% de alavancagem por PPP/concessão</t>
  </si>
  <si>
    <t>https://ppp.worldbank.org/sites/default/files/2024-08/PPP%20Reference%20Guide%20Version%203.pdf</t>
  </si>
  <si>
    <t>Maior vantagem locacional frente a corredores de menor custo logístico</t>
  </si>
  <si>
    <t>Diferenciais de custo logístico entre corredores e portos — por exemplo, o sobrecusto por tonelada de soja escoada por Santos — afetam a competitividade. Reduzir esses custos é critério relevante de priorização.</t>
  </si>
  <si>
    <t>híbrido</t>
  </si>
  <si>
    <t>Custos logísticos diferenciados (porto/corredor). Diferenciais de custo logístico entre corredores e portos — por exemplo, o sobrecusto por tonelada de soja escoada por Santos — afetam a competitividade.</t>
  </si>
  <si>
    <t>Valor por célula de 100x100 m da superfície de diferencial de custo logístico de corredor ponderada pela mercadoria</t>
  </si>
  <si>
    <t>US$/tonelada (ex.: +US$ 5/t de soja por Santos)</t>
  </si>
  <si>
    <t>Custo acumulado em rede e acessibilidade potencial; mais adequado que distância euclidiana quando o fenômeno depende de conectividade funcional, tempo ou esforço de deslocamento.</t>
  </si>
  <si>
    <t>https://trimis.ec.europa.eu/project/developing-harmonised-european-approaches-transport-costing-and-project-assessment</t>
  </si>
  <si>
    <t>Maior benefício social líquido do empreendimento</t>
  </si>
  <si>
    <t>Além do retorno financeiro privado, deve-se considerar o valor presente líquido social, que incorpora externalidades positivas e negativas e alinha a seleção ao maior benefício agregado para a sociedade.</t>
  </si>
  <si>
    <t>Benefício social na priorização</t>
  </si>
  <si>
    <t>Valor por célula de 100x100 m do raster de vPL social ou escore consolidado de benefício social</t>
  </si>
  <si>
    <t>VPL social; B/C social</t>
  </si>
  <si>
    <t>Econômica</t>
  </si>
  <si>
    <t>Localização em áreas de alta massa econômica</t>
  </si>
  <si>
    <t>Projetos que servem a uma base produtiva maior, medida em empregos e em valor de produção, geram impacto econômico regional mais expressivo e devem ter prioridade na carteira.</t>
  </si>
  <si>
    <t>grade</t>
  </si>
  <si>
    <t>Empregos e produção envolvidos</t>
  </si>
  <si>
    <t>Valor por célula de 100x100 m da superfície contínua de empregos e valor de produção por célula</t>
  </si>
  <si>
    <t>Interpolação areal ou rasterização de dados territoriais com estatística zonal; adequada porque o fenômeno representa distribuição espacial contínua de atividade econômica.</t>
  </si>
  <si>
    <t>número de empregos; R$/ano de produção</t>
  </si>
  <si>
    <t>Maior ganho de competitividade para a produção atendida</t>
  </si>
  <si>
    <t>A redução do custo logístico aumenta a competitividade da produção paulista nos mercados interno e externo, o que ajuda a manter e a ampliar a participação de mercado do Estado.</t>
  </si>
  <si>
    <t>Competitividade da produção paulista</t>
  </si>
  <si>
    <t>Valor por célula de 100x100 m da superfície de ganho potencial de competitividade derivada da redução de custo logístico</t>
  </si>
  <si>
    <t>% e R$</t>
  </si>
  <si>
    <t>Modelo gravitacional ou alocação de fluxos em rede; apropriado quando a variável representa captura de demanda, competitividade logística ou redistribuição de fluxos.</t>
  </si>
  <si>
    <t>participação de mercado; custo logístico total</t>
  </si>
  <si>
    <t>Maior acessibilidade temporal aos destinos relevantes</t>
  </si>
  <si>
    <t>A economia de tempo de viagem de pessoas e cargas converte-se diretamente em ganho de produtividade e em redução de custos, sendo um dos principais benefícios mensuráveis dos projetos de transporte.</t>
  </si>
  <si>
    <t>Redução dos tempos de viagem</t>
  </si>
  <si>
    <t>Valor por célula de 100x100 m da superfície de tempo mínimo de viagem na rede ou de economia temporal potencial</t>
  </si>
  <si>
    <t>min/km</t>
  </si>
  <si>
    <t>min/km; tempo total origem-destino</t>
  </si>
  <si>
    <t>Maior potencial de indução econômica regional</t>
  </si>
  <si>
    <t>Infraestrutura nova pode induzir o surgimento de produção e de emprego em regiões-alvo, atuando como vetor de desenvolvimento e de desconcentração econômica do Estado.</t>
  </si>
  <si>
    <t>Indução de produção e emprego regional</t>
  </si>
  <si>
    <t>Valor por célula de 100x100 m da superfície de potencial de indução de PIB e emprego nas áreas de influência</t>
  </si>
  <si>
    <t>empregos</t>
  </si>
  <si>
    <t>Área de serviço funcional ou área de influência do projeto seguida de estatística zonal; adequada quando o valor resulta da acumulação de atributos territoriais na vizinhança atendida.</t>
  </si>
  <si>
    <t>empregos e PIB induzidos por região</t>
  </si>
  <si>
    <t>Maior captura de cargas hoje sem alternativa logística eficiente</t>
  </si>
  <si>
    <t>Há cargas hoje sem alternativa de transporte eficiente, presas a modais inadequados. Destravar essa demanda reprimida gera ganho econômico expressivo e amplia a eficiência da rede.</t>
  </si>
  <si>
    <t>Atendimento a cargas sem alternativa eficiente. Há cargas hoje sem alternativa de transporte eficiente, presas a modais inadequados.</t>
  </si>
  <si>
    <t>Valor por célula de 100x100 m da superfície de carga reprimida capturável pelo projeto</t>
  </si>
  <si>
    <t>t/ano</t>
  </si>
  <si>
    <t>toneladas/ano de carga atendida</t>
  </si>
  <si>
    <t>https://trid.trb.org/view/1334470</t>
  </si>
  <si>
    <t>Maior suporte locacional e funcional a cadeias estratégicas</t>
  </si>
  <si>
    <t>Cadeias-chave do Estado — Pré-Sal, agronegócio e sucroenergético — dependem de logística adequada. Viabilizar o transporte dessas cadeias fortalece setores estratégicos da economia paulista.</t>
  </si>
  <si>
    <t>Suporte a cadeias estratégicas (Pré-Sal, agro, sucroenergético). Cadeias-chave do Estado — Pré-Sal, agronegócio e sucroenergético — dependem de logística adequada.</t>
  </si>
  <si>
    <t>Valor por célula de 100x100 m da superfície de atendimento potencial às cadeias estratégicas ponderada por tonelagem e valor</t>
  </si>
  <si>
    <t>toneladas/ano movimentadas das cadeias-alvo</t>
  </si>
  <si>
    <t>Maior acessibilidade funcional a eixos hidroviários eficientes</t>
  </si>
  <si>
    <t>Ampliar a participação da hidrovia Tietê-Paraná na matriz de transporte reduz custos e emissões, ao aproveitar um modal de alta eficiência ainda subutilizado no Estado.</t>
  </si>
  <si>
    <t>Participação da hidrovia na matriz de transporte</t>
  </si>
  <si>
    <t>Valor por célula de 100x100 m da superfície de acessibilidade em rede a infraestruturas hidroviárias ponderada por TKM</t>
  </si>
  <si>
    <t>% TKM</t>
  </si>
  <si>
    <t>% de TKM hidroviário</t>
  </si>
  <si>
    <t>Maior acessibilidade funcional à malha ferroviária estratégica</t>
  </si>
  <si>
    <t>Viabilizar ferrovias e short lines reduz a ociosidade da malha existente e desloca carga do modal rodoviário para um modal mais eficiente em longas distâncias.</t>
  </si>
  <si>
    <t>Desenvolvimento ferroviário estadual</t>
  </si>
  <si>
    <t>Valor por célula de 100x100 m da superfície de acessibilidade em rede à malha ferroviária ponderada por conectividade e TKM</t>
  </si>
  <si>
    <t>km de malha ativa</t>
  </si>
  <si>
    <t>km de malha ativa; TKM ferroviário</t>
  </si>
  <si>
    <t>Social</t>
  </si>
  <si>
    <t>Localização em áreas de maior vulnerabilidade territorial</t>
  </si>
  <si>
    <t>Direcionar o investimento preferencialmente a regiões menos desenvolvidas reduz as desigualdades territoriais. É critério obrigatório por orientação do PPT (slide 3) e da política de desenvolvimento regional.</t>
  </si>
  <si>
    <t>Redução de desigualdades regionais. Direcionar o investimento preferencialmente a regiões menos desenvolvidas reduz as desigualdades territoriais.</t>
  </si>
  <si>
    <t>Valor por célula de 100x100 m da superfície contínua de prioridade social derivada de IDH e PIB per capita invertidos</t>
  </si>
  <si>
    <t>Interpolação areal ou rasterização de indicadores territoriais por unidade espacial; adequada porque o objetivo é representar gradientes socioeconômicos contínuos no território.</t>
  </si>
  <si>
    <t>IDH regional; PIB per capita regional</t>
  </si>
  <si>
    <t>Sim</t>
  </si>
  <si>
    <t>Maior população efetivamente alcançada pelo projeto</t>
  </si>
  <si>
    <t>Quanto maior a população na área de influência do projeto, maior o retorno social do investimento, pois um número maior de pessoas usufrui da melhoria.</t>
  </si>
  <si>
    <t>População beneficiada</t>
  </si>
  <si>
    <t>Valor por célula de 100x100 m da superfície de população acumulada na área de serviço ou na área de influência funcional do projeto</t>
  </si>
  <si>
    <t>habitantes</t>
  </si>
  <si>
    <t>habitantes na área de influência</t>
  </si>
  <si>
    <t>Maior melhoria de acesso para populações subatendidas</t>
  </si>
  <si>
    <t>Projetos que ampliam o acesso ao transporte para populações hoje subatendidas promovem equidade e inclusão, ao reduzir barreiras de mobilidade.</t>
  </si>
  <si>
    <t>Equidade no acesso ao transporte</t>
  </si>
  <si>
    <t>Valor por célula de 100x100 m da superfície de cobertura de acessibilidade para população subatendida</t>
  </si>
  <si>
    <t>%</t>
  </si>
  <si>
    <t>% da população atendida por serviço público</t>
  </si>
  <si>
    <t>https://research.utwente.nl/en/publications/accessibility-evaluation-of-land-use-and-transport-strategies-rev</t>
  </si>
  <si>
    <t>Maior melhoria de acesso a saúde e educação</t>
  </si>
  <si>
    <t>Conectar a população a unidades básicas de saúde, hospitais e escolas é função social essencial do transporte. Projetos que melhoram esse acesso têm alto valor social.</t>
  </si>
  <si>
    <t>Acesso a serviços essenciais (saúde e educação). Conectar a população a unidades básicas de saúde, hospitais e escolas é função social essencial do transporte.</t>
  </si>
  <si>
    <t>Valor por célula de 100x100 m da superfície de acessibilidade a serviços essenciais ponderada pela população atendida</t>
  </si>
  <si>
    <t>população com acesso a serviço essencial via projeto</t>
  </si>
  <si>
    <t>Maior acessibilidade funcional a polos logísticos estratégicos</t>
  </si>
  <si>
    <t>Melhorar o acesso terrestre a polos logísticos — portos de Santos e de São Sebastião e Aeroporto de Viracopos — amplia a eficiência da cadeia e o retorno dos investimentos já realizados nesses polos.</t>
  </si>
  <si>
    <t>Acessibilidade a polos (portos e aeroportos)</t>
  </si>
  <si>
    <t>Valor por célula de 100x100 m da superfície de custo acumulado até portos e aeroportos ponderada pela relevância dos polos</t>
  </si>
  <si>
    <t>tempo médio de acesso; NS do acesso</t>
  </si>
  <si>
    <t>Maior conexão de comunidades isoladas a oportunidades e serviços</t>
  </si>
  <si>
    <t>Conectar comunidades hoje isoladas reduz o isolamento territorial e amplia o acesso dessas populações a oportunidades, mercados e serviços públicos.</t>
  </si>
  <si>
    <t>Atendimento a comunidades isoladas</t>
  </si>
  <si>
    <t>Valor por célula de 100x100 m da superfície de número ou peso de comunidades isoladas capturadas na área de influência funcional</t>
  </si>
  <si>
    <t>número</t>
  </si>
  <si>
    <t>número de comunidades conectadas</t>
  </si>
  <si>
    <t>Segurança</t>
  </si>
  <si>
    <t>Proximidade com segmentos de alta gravidade de acidentes</t>
  </si>
  <si>
    <t>A redução de mortes e de feridos graves é prioridade de saúde pública. Trechos com maior número de óbitos e de feridos graves por quilômetro devem ser tratados prioritariamente.</t>
  </si>
  <si>
    <t>Acidentes com vítimas (gravidade). A redução de mortes e de feridos graves é prioridade de saúde pública.</t>
  </si>
  <si>
    <t>Valor por célula de 100x100 m da superfície de distância euclidiana ponderada pela densidade de óbitos e feridos graves nos segmentos</t>
  </si>
  <si>
    <t>ocorrências/km</t>
  </si>
  <si>
    <t>óbitos e feridos graves por km (InfoSiga)</t>
  </si>
  <si>
    <t>Proximidade com segmentos de alta incidência de acidentes com usuários vulneráveis</t>
  </si>
  <si>
    <t>Pedestres, ciclistas e motociclistas são os usuários mais expostos da via. Projetos que reduzem os acidentes com esses grupos têm alto impacto na segurança viária.</t>
  </si>
  <si>
    <t>Acidentes com usuários vulneráveis. Pedestres, ciclistas e motociclistas são os usuários mais expostos da via.</t>
  </si>
  <si>
    <t>Valor por célula de 100x100 m da superfície de distância euclidiana ponderada pela densidade de acidentes com usuários vulneráveis</t>
  </si>
  <si>
    <t>ocorrências/ano</t>
  </si>
  <si>
    <t>ocorrências/ano com usuários vulneráveis (InfoSiga)</t>
  </si>
  <si>
    <t>Maior necessidade de mitigação em eixos de cargas perigosas</t>
  </si>
  <si>
    <t>O transporte de produtos perigosos exige mitigação de risco antes, durante e após eventuais acidentes, dada a gravidade potencial de vazamentos, incêndios e explosões.</t>
  </si>
  <si>
    <t>Transporte de cargas perigosas</t>
  </si>
  <si>
    <t>Valor por célula de 100x100 m da superfície de exposição a risco de cargas perigosas ponderada por ocorrência e severidade</t>
  </si>
  <si>
    <t>ocorrências/ano; severidade</t>
  </si>
  <si>
    <t>Proximidade com concentração elevada de pontos críticos de acidentes</t>
  </si>
  <si>
    <t>Trechos com concentração de acidentes (pontos críticos) apresentam alto retorno em vidas salvas por real investido e justificam intervenção prioritária.</t>
  </si>
  <si>
    <t>Concentração de pontos críticos ("black spots")</t>
  </si>
  <si>
    <t>Valor por célula de 100x100 m da superfície de distância euclidiana ponderada pela densidade kernel de acidentes graves</t>
  </si>
  <si>
    <t>densidade de acidentes por km</t>
  </si>
  <si>
    <t>Ambiental</t>
  </si>
  <si>
    <t>Maior potencial de redução de emissões associadas à localização e ao efeito de rede</t>
  </si>
  <si>
    <t>A redução das emissões de gases de efeito estufa é diretriz da Política Estadual de Mudanças Climáticas (Lei 13.798/2009). É critério obrigatório e mensurável em toneladas de CO₂ equivalente evitadas.</t>
  </si>
  <si>
    <t>Redução de emissões de gases de efeito estufa (GEE). A redução das emissões de gases de efeito estufa é diretriz da Política Estadual de Mudanças Climáticas (Lei 13.798/2009).</t>
  </si>
  <si>
    <t>Valor por célula de 100x100 m da superfície de redução potencial de CO2eq combinando mudança modal e ganho operacional</t>
  </si>
  <si>
    <t>tCO2eq/ano</t>
  </si>
  <si>
    <t>tCO₂eq/ano evitadas</t>
  </si>
  <si>
    <t>https://www.al.sp.gov.br/repositorio/legislacao/lei/2009/lei-13798-09.11.2009.html</t>
  </si>
  <si>
    <t>Maior potencial de redução de poluição local em áreas expostas</t>
  </si>
  <si>
    <t>A redução de poluentes locais, como óxidos de nitrogênio e material particulado, melhora a qualidade do ar e a saúde pública nas áreas atravessadas pelo projeto.</t>
  </si>
  <si>
    <t>Redução de poluentes locais</t>
  </si>
  <si>
    <t>Valor por célula de 100x100 m da superfície de poluentes evitados ponderada pela proximidade populacional e pelos segmentos emissores</t>
  </si>
  <si>
    <t>g/km</t>
  </si>
  <si>
    <t>g de NOx/km; material particulado</t>
  </si>
  <si>
    <t>Maior eficiência energética do sistema atendido</t>
  </si>
  <si>
    <t>Projetos que reduzem o consumo de energia por tonelada-quilômetro transportada diminuem custos e emissões, o que contribui para a sustentabilidade do sistema de transporte.</t>
  </si>
  <si>
    <t>Eficiência energética</t>
  </si>
  <si>
    <t>Valor por célula de 100x100 m da superfície de intensidade energética evitada por tonelada.km ou passageiro.km</t>
  </si>
  <si>
    <t>MJ/t.km</t>
  </si>
  <si>
    <t>MJ/(t.km) evitados</t>
  </si>
  <si>
    <t>https://www.ipcc.ch/</t>
  </si>
  <si>
    <t>Maior potencial de migração para modais mais eficientes</t>
  </si>
  <si>
    <t>Estimular a migração de carga do modal rodoviário para os modais ferroviário e hidroviário, mais sustentáveis, é objetivo ambiental central do PLI-SP 2050.</t>
  </si>
  <si>
    <t>Otimização da matriz modal</t>
  </si>
  <si>
    <t>Valor por célula de 100x100 m da superfície de migração modal potencial do rodoviário para ferrovia ou hidrovia</t>
  </si>
  <si>
    <t>% de migração rodoviário para ferroviário/hidroviário</t>
  </si>
  <si>
    <t>Menor conflito locacional com áreas sensíveis ou protegidas</t>
  </si>
  <si>
    <t>Projetos que afetam áreas de preservação permanente, unidades de conservação ou a zona costeira geram passivo ambiental. Evitar ou minimizar esse impacto é critério obrigatório, inclusive quanto ao conflito com o Zoneamento Ecológico-Econômico (ZEE).</t>
  </si>
  <si>
    <t>Impacto sobre áreas sensíveis ou protegidas. Projetos que afetam áreas de preservação permanente, unidades de conservação ou a zona costeira geram passivo ambiental.</t>
  </si>
  <si>
    <t>Valor por célula de 100x100 m da superfície de conflito ambiental por proximidade e sobreposição com áreas protegidas</t>
  </si>
  <si>
    <t>ha</t>
  </si>
  <si>
    <t>Distância euclidiana a polígonos sensíveis combinada com sobreposição e penalização por interseção; adequada porque o critério depende de conflito espacial direto e de proximidade a áreas restritivas.</t>
  </si>
  <si>
    <t>área protegida afetada; conflito com o ZEE</t>
  </si>
  <si>
    <t>https://www.planalto.gov.br/ccivil_03/decreto/2002/d4297.htm</t>
  </si>
  <si>
    <t>Menor complexidade licenciatória para implantação</t>
  </si>
  <si>
    <t>A complexidade e o prazo do licenciamento ambiental podem atrasar ou inviabilizar a obra. Projetos com licenciamento mais simples apresentam menor risco de execução.</t>
  </si>
  <si>
    <t>Complexidade do licenciamento ambiental. A complexidade e o prazo do licenciamento ambiental podem atrasar ou inviabilizar a obra.</t>
  </si>
  <si>
    <t>Valor por célula de 100x100 m do raster de escore de complexidade e prazo do licenciamento ambiental</t>
  </si>
  <si>
    <t>índice/grau</t>
  </si>
  <si>
    <t>grau e prazo do licenciamento</t>
  </si>
  <si>
    <t>https://conama.mma.gov.br/?option=com_sisconama&amp;task=arquivo.download&amp;id=237</t>
  </si>
  <si>
    <t>Territorial</t>
  </si>
  <si>
    <t>Proximidade com segmentos de alto conflito urbano-regional</t>
  </si>
  <si>
    <t>Em conurbações, o tráfego de passagem disputa espaço com o tráfego local e gera conflito urbano-regional. Projetos que reduzem essa interferência melhoram a fluidez e a qualidade de vida urbana.</t>
  </si>
  <si>
    <t>Conflito com o tráfego urbano e conurbações. Em conurbações, o tráfego de passagem disputa espaço com o tráfego local e gera conflito urbano-regional.</t>
  </si>
  <si>
    <t>Valor por célula de 100x100 m da superfície de distância euclidiana ponderada pelo índice de conflito entre tráfego de passagem e tráfego local</t>
  </si>
  <si>
    <t>horas de pico</t>
  </si>
  <si>
    <t>horas de pico; índice de conflito</t>
  </si>
  <si>
    <t>Proximidade com segmentos de alta interferência urbano-portuária</t>
  </si>
  <si>
    <t>Nas cidades portuárias, o tráfego de cargas disputa o viário urbano com a população. Reduzir o conflito urbano-portuário aumenta a eficiência logística e reduz as externalidades negativas.</t>
  </si>
  <si>
    <t>Conflito com o tráfego urbano portuário. Nas cidades portuárias, o tráfego de cargas disputa o viário urbano com a população.</t>
  </si>
  <si>
    <t>Valor por célula de 100x100 m da superfície de distância euclidiana ponderada pelo índice de conflito urbano-portuário</t>
  </si>
  <si>
    <t>índice de interferência urbana</t>
  </si>
  <si>
    <t>Maior acessibilidade funcional a nós intermodais estratégicos</t>
  </si>
  <si>
    <t>Projetos que conectam diferentes modais — portos, ferrovias e aeroportos — ampliam o benefício logístico do conjunto da rede, ao viabilizar cadeias de transporte integradas.</t>
  </si>
  <si>
    <t>Integração intermodal</t>
  </si>
  <si>
    <t>Valor por célula de 100x100 m da superfície de acessibilidade potencial em rede a portos, aeroportos, terminais e pátios</t>
  </si>
  <si>
    <t>número de conexões modais</t>
  </si>
  <si>
    <t>Maior capacidade de reduzir vazios logísticos e conectar regiões pouco integradas</t>
  </si>
  <si>
    <t>Ligações que integram regiões hoje mal conectadas reduzem vazios logísticos e ampliam a coesão territorial do Estado.</t>
  </si>
  <si>
    <t>Conexão inter-regional e vazios logísticos</t>
  </si>
  <si>
    <t>Valor por célula de 100x100 m da superfície de acessibilidade regional e redução de isolamento logístico</t>
  </si>
  <si>
    <t>novas ligações inter-regionais</t>
  </si>
  <si>
    <t>novas ligações inter-regionais; frequência</t>
  </si>
  <si>
    <t>Maior compatibilidade territorial e urbanística com o planejamento local</t>
  </si>
  <si>
    <t>A compatibilidade do projeto com os planos diretores municipais e com o uso do solo planejado evita conflitos futuros e confere segurança jurídica à implantação.</t>
  </si>
  <si>
    <t>Aderência aos planos diretores municipais</t>
  </si>
  <si>
    <t>Valor por célula de 100x100 m da superfície de compatibilidade espacial com planos diretores e uso do solo planejado</t>
  </si>
  <si>
    <t>Sobreposição espacial ponderada entre projeto, zoneamentos e planos diretores; adequada porque o critério deriva da compatibilidade territorial explícita entre geometrias normativas e localizações de projeto.</t>
  </si>
  <si>
    <t>grau de compatibilidade</t>
  </si>
  <si>
    <t>https://www.planalto.gov.br/ccivil_03/leis/leis_2001/l10257.htm</t>
  </si>
  <si>
    <t>Proximidade com polos geradores e atratores de tráfego relevantes</t>
  </si>
  <si>
    <t>Polos atratores e geradores de tráfego — terminais, centros logísticos e grandes equipamentos urbanos — ampliam a demanda sobre a via. Considerá-los dimensiona corretamente a necessidade de capacidade.</t>
  </si>
  <si>
    <t>Polos atratores e geradores de tráfego. Polos atratores e geradores de tráfego — terminais, centros logísticos e grandes equipamentos urbanos — ampliam a demanda sobre a via.</t>
  </si>
  <si>
    <t>Valor por célula de 100x100 m da superfície de intensidade de polos geradores ponderada por entradas e saídas diárias</t>
  </si>
  <si>
    <t>movimentos/dia</t>
  </si>
  <si>
    <t>entradas e saídas de terminais por dia</t>
  </si>
  <si>
    <t>Institucional</t>
  </si>
  <si>
    <t>Menor complexidade técnica e institucional do empreendimento</t>
  </si>
  <si>
    <t>Projetos menos complexos do ponto de vista técnico e institucional tendem a ser executados com mais rapidez e menor risco, entregando resultado em prazo mais curto. É critério obrigatório (PPT, slide 3).</t>
  </si>
  <si>
    <t>Nível de complexidade. Projetos menos complexos do ponto de vista técnico e institucional tendem a ser executados com mais rapidez e menor risco, entregando resultado em prazo mais curto.</t>
  </si>
  <si>
    <t>Valor por célula de 100x100 m do raster de escore técnico-institucional de complexidade do projeto</t>
  </si>
  <si>
    <t>escala qualitativa de 1 a 5</t>
  </si>
  <si>
    <t>Menor prazo até a entrada em operação</t>
  </si>
  <si>
    <t>Quanto menor o prazo até a entrada em operação, mais cedo os benefícios são gerados. O prazo de implantação é critério obrigatório de priorização (PPT, slide 3).</t>
  </si>
  <si>
    <t>Prazo para implantação. Quanto menor o prazo até a entrada em operação, mais cedo os benefícios são gerados.</t>
  </si>
  <si>
    <t>Valor por célula de 100x100 m do raster de tempo estimado de implantação em meses normalizado</t>
  </si>
  <si>
    <t>meses</t>
  </si>
  <si>
    <t>meses até a operação</t>
  </si>
  <si>
    <t>Menor exposição a entraves jurídicos e jurisdicionais</t>
  </si>
  <si>
    <t>A ausência de impedimentos jurídicos e jurisdicionais é condição para a execução. Pendências elevam o risco de paralisação e constituem critério obrigatório (PPT, slide 3).</t>
  </si>
  <si>
    <t>Pendências jurídicas e jurisdicionais. A ausência de impedimentos jurídicos e jurisdicionais é condição para a execução.</t>
  </si>
  <si>
    <t>Valor por célula de 100x100 m do raster de índice de pendências jurídicas e de risco jurisdicional</t>
  </si>
  <si>
    <t>número de pendências; grau de risco jurídico</t>
  </si>
  <si>
    <t>https://www.planalto.gov.br/ccivil_03/_ato2019-2022/2021/lei/l14133.htm</t>
  </si>
  <si>
    <t>Maior aderência estratégica aos planos vigentes</t>
  </si>
  <si>
    <t>A coerência do projeto com os planos vigentes — PPA, PEF, PAN e PNLT — garante legitimidade orçamentária e institucional à priorização.</t>
  </si>
  <si>
    <t>Alinhamento aos planos (PPA, PEF, PAN, PNLT)</t>
  </si>
  <si>
    <t>Valor por célula de 100x100 m do raster de escore de alinhamento a PPA, PEF, PAN e PNLT</t>
  </si>
  <si>
    <t>grau de aderência aos planos</t>
  </si>
  <si>
    <t>Maior consenso institucional para viabilização do projeto</t>
  </si>
  <si>
    <t>A convergência entre os atores institucionais envolvidos facilita a execução e reduz o risco de bloqueios políticos ou administrativos.</t>
  </si>
  <si>
    <t>Consenso e apoio institucional dos atores</t>
  </si>
  <si>
    <t>Valor por célula de 100x100 m do raster de escore de apoio e convergência entre atores institucionais</t>
  </si>
  <si>
    <t>grau de consenso (atores do slide 58)</t>
  </si>
  <si>
    <t>Maior legitimidade social e participativa do empreendimento</t>
  </si>
  <si>
    <t>O volume de contribuições e de manifestações sociais recebidas confere legitimidade participativa à priorização e indica o apoio da sociedade ao projeto.</t>
  </si>
  <si>
    <t>Demanda social e contribuições recebidas</t>
  </si>
  <si>
    <t>Valor por célula de 100x100 m do raster de escore de demanda social a partir de menções e contribuições recebidas</t>
  </si>
  <si>
    <t>número de menções e contribuições</t>
  </si>
  <si>
    <t>Risco</t>
  </si>
  <si>
    <t>Maior contribuição para resiliência da rede a eventos extremos</t>
  </si>
  <si>
    <t>Projetos que aumentam a resiliência da rede a eventos climáticos extremos (pontos de alagamento, ou Blue Spots) reduzem o risco de interrupção do tráfego e os custos de recuperação.</t>
  </si>
  <si>
    <t>Resiliência climática (Blue Spot)</t>
  </si>
  <si>
    <t>Valor por célula de 100x100 m da superfície de mitigação de blue spots e de redução da exposição a alagamentos críticos</t>
  </si>
  <si>
    <t>% da rede resiliente</t>
  </si>
  <si>
    <t>% da rede resiliente; nº de Blue Spots mitigados</t>
  </si>
  <si>
    <t>Menor incerteza quanto à demanda futura do projeto</t>
  </si>
  <si>
    <t>Projeções de demanda incertas elevam o risco do investimento. Quanto maior a variância entre os cenários, maior a chance de o benefício previsto não se concretizar.</t>
  </si>
  <si>
    <t>Risco de demanda (incerteza de projeção). Projeções de demanda incertas elevam o risco do investimento.</t>
  </si>
  <si>
    <t>Valor por célula de 100x100 m do raster de coeficiente de variação entre cenários de demanda</t>
  </si>
  <si>
    <t>variância</t>
  </si>
  <si>
    <t>variância entre cenários de demanda</t>
  </si>
  <si>
    <t>https://academic.oup.com/oxrep/article-abstract/25/3/344/424009</t>
  </si>
  <si>
    <t>Menor risco de atraso e sobrecusto na implantação</t>
  </si>
  <si>
    <t>O histórico de desvios de prazo e de custo — viés de otimismo — sinaliza maior risco de execução. Projetos com esse histórico devem ser penalizados na priorização.</t>
  </si>
  <si>
    <t>Risco de execução (atrasos e sobrecustos). O histórico de desvios de prazo e de custo — viés de otimismo — sinaliza maior risco de execução.</t>
  </si>
  <si>
    <t>Valor por célula de 100x100 m do raster de escore de risco de execução com base em desvios históricos de prazo e custo</t>
  </si>
  <si>
    <t>desvio histórico de prazo e de custo</t>
  </si>
  <si>
    <t>Menor carga de desapropriações e interferências físicas</t>
  </si>
  <si>
    <t>Desapropriações e interferências com redes de infraestrutura são causas frequentes de atraso e de sobrecusto. Quanto maior o número de desapropriações e de interferências, maior o risco.</t>
  </si>
  <si>
    <t>Risco de desapropriação e interferências. Desapropriações e interferências com redes de infraestrutura são causas frequentes de atraso e de sobrecusto.</t>
  </si>
  <si>
    <t>Valor por célula de 100x100 m do raster de índice de desapropriações e interferências com utilidades e outras infraestruturas</t>
  </si>
  <si>
    <t>número de desapropriações; interferências</t>
  </si>
  <si>
    <t>https://www.planalto.gov.br/ccivil_03/decreto-lei/del3365.htm</t>
  </si>
  <si>
    <t>Menor dependência de projetos predecessores ou de entregas externas</t>
  </si>
  <si>
    <t>Projetos cujo benefício depende da execução prévia de outros (predecessores) carregam risco maior, pois ficam reféns do cronograma dos projetos dos quais dependem.</t>
  </si>
  <si>
    <t>Dependência de pré-requisitos (interdependência)</t>
  </si>
  <si>
    <t>Valor por célula de 100x100 m do raster de índice de interdependência e de pré-requisitos críticos</t>
  </si>
  <si>
    <t>número de projetos predecessores</t>
  </si>
  <si>
    <t>Menor conflito socioambiental com comunidades tradicionais</t>
  </si>
  <si>
    <t>A presença de comunidades tradicionais, como quilombolas e indígenas, exige consulta e cuidado redobrados. O risco socioambiental, se não for tratado, pode paralisar o projeto.</t>
  </si>
  <si>
    <t>Risco socioambiental (comunidades tradicionais). A presença de comunidades tradicionais, como quilombolas e indígenas, exige consulta e cuidado redobrados.</t>
  </si>
  <si>
    <t>Valor por célula de 100x100 m da superfície de conflito socioambiental por proximidade, sobreposição e sensibilidade territorial</t>
  </si>
  <si>
    <t>Distância euclidiana a territórios sensíveis combinada com sobreposição e penalização temática; adequada porque o critério depende da relação espacial direta com comunidades e áreas culturalmente sensíveis.</t>
  </si>
  <si>
    <t>presença e grau de conflito socioambiental</t>
  </si>
  <si>
    <t>https://www.ilo.org/pt-pt/resource/other/convencao-no-169-da-oit-sobre-povos-indigenas-e-tribais-traduzida-para</t>
  </si>
  <si>
    <t>#</t>
  </si>
  <si>
    <t>Justificativa (com referência)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</si>
  <si>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</si>
  <si>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</si>
  <si>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</si>
  <si>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</si>
  <si>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</si>
  <si>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</si>
  <si>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</si>
  <si>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</si>
  <si>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</si>
  <si>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VDM — Volume Diário Médio</t>
  </si>
  <si>
    <t>Nível de Serviço (NS) / Saturação</t>
  </si>
  <si>
    <t>Congestionamento real ("tempo lento")</t>
  </si>
  <si>
    <t>Estado de conservação do pavimento</t>
  </si>
  <si>
    <t>Deficiência geométrica (rampas, alças e raios)</t>
  </si>
  <si>
    <t>Tráfego sazonal (fins de semana e feriados)</t>
  </si>
  <si>
    <t>Capex (custo de investimento)</t>
  </si>
  <si>
    <t>Opex (operação e manutenção)</t>
  </si>
  <si>
    <t>Relação benefício/custo</t>
  </si>
  <si>
    <t>Custos logísticos diferenciados (porto/corredor)</t>
  </si>
  <si>
    <t>Atendimento a cargas sem alternativa eficiente</t>
  </si>
  <si>
    <t>Suporte a cadeias estratégicas (Pré-Sal, agro, sucroenergético)</t>
  </si>
  <si>
    <t>Redução de desigualdades regionais</t>
  </si>
  <si>
    <t>Acesso a serviços essenciais (saúde e educação)</t>
  </si>
  <si>
    <t>Acidentes com vítimas (gravidade)</t>
  </si>
  <si>
    <t>Acidentes com usuários vulneráveis</t>
  </si>
  <si>
    <t>Redução de emissões de gases de efeito estufa (GEE)</t>
  </si>
  <si>
    <t>Impacto sobre áreas sensíveis ou protegidas</t>
  </si>
  <si>
    <t>Complexidade do licenciamento ambiental</t>
  </si>
  <si>
    <t>Conflito com o tráfego urbano e conurbações</t>
  </si>
  <si>
    <t>Conflito com o tráfego urbano portuário</t>
  </si>
  <si>
    <t>Polos atratores e geradores de tráfego</t>
  </si>
  <si>
    <t>Nível de complexidade</t>
  </si>
  <si>
    <t>Prazo para implantação</t>
  </si>
  <si>
    <t>Pendências jurídicas e jurisdicionais</t>
  </si>
  <si>
    <t>Risco de demanda (incerteza de projeção)</t>
  </si>
  <si>
    <t>Risco de execução (atrasos e sobrecustos)</t>
  </si>
  <si>
    <t>Risco de desapropriação e interferências</t>
  </si>
  <si>
    <t>Risco socioambiental (comunidades tradicionais)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</si>
</sst>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1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6" customWidth="1"/>
    <col min="3" max="3" width="118" customWidth="1"/>
  </cols>
  <sheetData>
    <row r="1" spans="1:3" ht="26" customHeight="1" x14ac:dyDescent="0.35">
      <c r="A1" s="1" t="s">
        <v>364</v>
      </c>
      <c r="B1" s="1" t="s">
        <v>0</v>
      </c>
      <c r="C1" s="1" t="s">
        <v>365</v>
      </c>
    </row>
    <row r="2" spans="1:3" ht="104" customHeight="1" x14ac:dyDescent="0.35">
      <c r="A2" s="2">
        <v>1</v>
      </c>
      <c r="B2" s="3" t="s">
        <v>13</v>
      </c>
      <c r="C2" s="4" t="s">
        <v>366</v>
      </c>
    </row>
    <row r="3" spans="1:3" ht="104" customHeight="1" x14ac:dyDescent="0.35">
      <c r="A3" s="2">
        <v>2</v>
      </c>
      <c r="B3" s="3" t="s">
        <v>67</v>
      </c>
      <c r="C3" s="4" t="s">
        <v>367</v>
      </c>
    </row>
    <row r="4" spans="1:3" ht="104" customHeight="1" x14ac:dyDescent="0.35">
      <c r="A4" s="2">
        <v>3</v>
      </c>
      <c r="B4" s="3" t="s">
        <v>105</v>
      </c>
      <c r="C4" s="4" t="s">
        <v>368</v>
      </c>
    </row>
    <row r="5" spans="1:3" ht="104" customHeight="1" x14ac:dyDescent="0.35">
      <c r="A5" s="2">
        <v>4</v>
      </c>
      <c r="B5" s="3" t="s">
        <v>157</v>
      </c>
      <c r="C5" s="4" t="s">
        <v>369</v>
      </c>
    </row>
    <row r="6" spans="1:3" ht="104" customHeight="1" x14ac:dyDescent="0.35">
      <c r="A6" s="2">
        <v>5</v>
      </c>
      <c r="B6" s="3" t="s">
        <v>194</v>
      </c>
      <c r="C6" s="4" t="s">
        <v>370</v>
      </c>
    </row>
    <row r="7" spans="1:3" ht="104" customHeight="1" x14ac:dyDescent="0.35">
      <c r="A7" s="2">
        <v>6</v>
      </c>
      <c r="B7" s="3" t="s">
        <v>217</v>
      </c>
      <c r="C7" s="4" t="s">
        <v>371</v>
      </c>
    </row>
    <row r="8" spans="1:3" ht="104" customHeight="1" x14ac:dyDescent="0.35">
      <c r="A8" s="2">
        <v>7</v>
      </c>
      <c r="B8" s="3" t="s">
        <v>258</v>
      </c>
      <c r="C8" s="4" t="s">
        <v>372</v>
      </c>
    </row>
    <row r="9" spans="1:3" ht="104" customHeight="1" x14ac:dyDescent="0.35">
      <c r="A9" s="2">
        <v>8</v>
      </c>
      <c r="B9" s="3" t="s">
        <v>294</v>
      </c>
      <c r="C9" s="4" t="s">
        <v>373</v>
      </c>
    </row>
    <row r="10" spans="1:3" ht="104" customHeight="1" x14ac:dyDescent="0.35">
      <c r="A10" s="2">
        <v>9</v>
      </c>
      <c r="B10" s="3" t="s">
        <v>327</v>
      </c>
      <c r="C10" s="4" t="s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56" customWidth="1"/>
    <col min="3" max="3" width="18" customWidth="1"/>
  </cols>
  <sheetData>
    <row r="1" spans="1:3" ht="26" customHeight="1" x14ac:dyDescent="0.35">
      <c r="A1" s="1" t="s">
        <v>364</v>
      </c>
      <c r="B1" s="1" t="s">
        <v>2</v>
      </c>
      <c r="C1" s="1" t="s">
        <v>0</v>
      </c>
    </row>
    <row r="2" spans="1:3" x14ac:dyDescent="0.35">
      <c r="A2" s="2">
        <v>1</v>
      </c>
      <c r="B2" s="4" t="s">
        <v>375</v>
      </c>
      <c r="C2" s="3" t="s">
        <v>13</v>
      </c>
    </row>
    <row r="3" spans="1:3" x14ac:dyDescent="0.35">
      <c r="A3" s="2">
        <v>2</v>
      </c>
      <c r="B3" s="4" t="s">
        <v>376</v>
      </c>
      <c r="C3" s="3" t="s">
        <v>13</v>
      </c>
    </row>
    <row r="4" spans="1:3" x14ac:dyDescent="0.35">
      <c r="A4" s="2">
        <v>3</v>
      </c>
      <c r="B4" s="4" t="s">
        <v>377</v>
      </c>
      <c r="C4" s="3" t="s">
        <v>13</v>
      </c>
    </row>
    <row r="5" spans="1:3" x14ac:dyDescent="0.35">
      <c r="A5" s="2">
        <v>4</v>
      </c>
      <c r="B5" s="4" t="s">
        <v>378</v>
      </c>
      <c r="C5" s="3" t="s">
        <v>13</v>
      </c>
    </row>
    <row r="6" spans="1:3" x14ac:dyDescent="0.35">
      <c r="A6" s="2">
        <v>5</v>
      </c>
      <c r="B6" s="4" t="s">
        <v>379</v>
      </c>
      <c r="C6" s="3" t="s">
        <v>13</v>
      </c>
    </row>
    <row r="7" spans="1:3" x14ac:dyDescent="0.35">
      <c r="A7" s="2">
        <v>6</v>
      </c>
      <c r="B7" s="4" t="s">
        <v>56</v>
      </c>
      <c r="C7" s="3" t="s">
        <v>13</v>
      </c>
    </row>
    <row r="8" spans="1:3" x14ac:dyDescent="0.35">
      <c r="A8" s="2">
        <v>7</v>
      </c>
      <c r="B8" s="4" t="s">
        <v>380</v>
      </c>
      <c r="C8" s="3" t="s">
        <v>13</v>
      </c>
    </row>
    <row r="9" spans="1:3" x14ac:dyDescent="0.35">
      <c r="A9" s="2">
        <v>8</v>
      </c>
      <c r="B9" s="4" t="s">
        <v>381</v>
      </c>
      <c r="C9" s="3" t="s">
        <v>67</v>
      </c>
    </row>
    <row r="10" spans="1:3" x14ac:dyDescent="0.35">
      <c r="A10" s="2">
        <v>9</v>
      </c>
      <c r="B10" s="4" t="s">
        <v>382</v>
      </c>
      <c r="C10" s="3" t="s">
        <v>67</v>
      </c>
    </row>
    <row r="11" spans="1:3" x14ac:dyDescent="0.35">
      <c r="A11" s="2">
        <v>10</v>
      </c>
      <c r="B11" s="4" t="s">
        <v>383</v>
      </c>
      <c r="C11" s="3" t="s">
        <v>67</v>
      </c>
    </row>
    <row r="12" spans="1:3" x14ac:dyDescent="0.35">
      <c r="A12" s="2">
        <v>11</v>
      </c>
      <c r="B12" s="4" t="s">
        <v>88</v>
      </c>
      <c r="C12" s="3" t="s">
        <v>67</v>
      </c>
    </row>
    <row r="13" spans="1:3" x14ac:dyDescent="0.35">
      <c r="A13" s="2">
        <v>12</v>
      </c>
      <c r="B13" s="4" t="s">
        <v>384</v>
      </c>
      <c r="C13" s="3" t="s">
        <v>67</v>
      </c>
    </row>
    <row r="14" spans="1:3" x14ac:dyDescent="0.35">
      <c r="A14" s="2">
        <v>13</v>
      </c>
      <c r="B14" s="4" t="s">
        <v>102</v>
      </c>
      <c r="C14" s="3" t="s">
        <v>67</v>
      </c>
    </row>
    <row r="15" spans="1:3" x14ac:dyDescent="0.35">
      <c r="A15" s="2">
        <v>14</v>
      </c>
      <c r="B15" s="4" t="s">
        <v>109</v>
      </c>
      <c r="C15" s="3" t="s">
        <v>105</v>
      </c>
    </row>
    <row r="16" spans="1:3" x14ac:dyDescent="0.35">
      <c r="A16" s="2">
        <v>15</v>
      </c>
      <c r="B16" s="4" t="s">
        <v>115</v>
      </c>
      <c r="C16" s="3" t="s">
        <v>105</v>
      </c>
    </row>
    <row r="17" spans="1:3" x14ac:dyDescent="0.35">
      <c r="A17" s="2">
        <v>16</v>
      </c>
      <c r="B17" s="4" t="s">
        <v>122</v>
      </c>
      <c r="C17" s="3" t="s">
        <v>105</v>
      </c>
    </row>
    <row r="18" spans="1:3" x14ac:dyDescent="0.35">
      <c r="A18" s="2">
        <v>17</v>
      </c>
      <c r="B18" s="4" t="s">
        <v>128</v>
      </c>
      <c r="C18" s="3" t="s">
        <v>105</v>
      </c>
    </row>
    <row r="19" spans="1:3" x14ac:dyDescent="0.35">
      <c r="A19" s="2">
        <v>18</v>
      </c>
      <c r="B19" s="4" t="s">
        <v>385</v>
      </c>
      <c r="C19" s="3" t="s">
        <v>105</v>
      </c>
    </row>
    <row r="20" spans="1:3" x14ac:dyDescent="0.35">
      <c r="A20" s="2">
        <v>19</v>
      </c>
      <c r="B20" s="4" t="s">
        <v>386</v>
      </c>
      <c r="C20" s="3" t="s">
        <v>105</v>
      </c>
    </row>
    <row r="21" spans="1:3" x14ac:dyDescent="0.35">
      <c r="A21" s="2">
        <v>20</v>
      </c>
      <c r="B21" s="4" t="s">
        <v>147</v>
      </c>
      <c r="C21" s="3" t="s">
        <v>105</v>
      </c>
    </row>
    <row r="22" spans="1:3" x14ac:dyDescent="0.35">
      <c r="A22" s="2">
        <v>21</v>
      </c>
      <c r="B22" s="4" t="s">
        <v>153</v>
      </c>
      <c r="C22" s="3" t="s">
        <v>105</v>
      </c>
    </row>
    <row r="23" spans="1:3" x14ac:dyDescent="0.35">
      <c r="A23" s="2">
        <v>22</v>
      </c>
      <c r="B23" s="4" t="s">
        <v>387</v>
      </c>
      <c r="C23" s="3" t="s">
        <v>157</v>
      </c>
    </row>
    <row r="24" spans="1:3" x14ac:dyDescent="0.35">
      <c r="A24" s="2">
        <v>23</v>
      </c>
      <c r="B24" s="4" t="s">
        <v>167</v>
      </c>
      <c r="C24" s="3" t="s">
        <v>157</v>
      </c>
    </row>
    <row r="25" spans="1:3" x14ac:dyDescent="0.35">
      <c r="A25" s="2">
        <v>24</v>
      </c>
      <c r="B25" s="4" t="s">
        <v>173</v>
      </c>
      <c r="C25" s="3" t="s">
        <v>157</v>
      </c>
    </row>
    <row r="26" spans="1:3" x14ac:dyDescent="0.35">
      <c r="A26" s="2">
        <v>25</v>
      </c>
      <c r="B26" s="4" t="s">
        <v>388</v>
      </c>
      <c r="C26" s="3" t="s">
        <v>157</v>
      </c>
    </row>
    <row r="27" spans="1:3" x14ac:dyDescent="0.35">
      <c r="A27" s="2">
        <v>26</v>
      </c>
      <c r="B27" s="4" t="s">
        <v>185</v>
      </c>
      <c r="C27" s="3" t="s">
        <v>157</v>
      </c>
    </row>
    <row r="28" spans="1:3" x14ac:dyDescent="0.35">
      <c r="A28" s="2">
        <v>27</v>
      </c>
      <c r="B28" s="4" t="s">
        <v>190</v>
      </c>
      <c r="C28" s="3" t="s">
        <v>157</v>
      </c>
    </row>
    <row r="29" spans="1:3" x14ac:dyDescent="0.35">
      <c r="A29" s="2">
        <v>28</v>
      </c>
      <c r="B29" s="4" t="s">
        <v>389</v>
      </c>
      <c r="C29" s="3" t="s">
        <v>194</v>
      </c>
    </row>
    <row r="30" spans="1:3" x14ac:dyDescent="0.35">
      <c r="A30" s="2">
        <v>29</v>
      </c>
      <c r="B30" s="4" t="s">
        <v>390</v>
      </c>
      <c r="C30" s="3" t="s">
        <v>194</v>
      </c>
    </row>
    <row r="31" spans="1:3" x14ac:dyDescent="0.35">
      <c r="A31" s="2">
        <v>30</v>
      </c>
      <c r="B31" s="4" t="s">
        <v>209</v>
      </c>
      <c r="C31" s="3" t="s">
        <v>194</v>
      </c>
    </row>
    <row r="32" spans="1:3" x14ac:dyDescent="0.35">
      <c r="A32" s="2">
        <v>31</v>
      </c>
      <c r="B32" s="4" t="s">
        <v>214</v>
      </c>
      <c r="C32" s="3" t="s">
        <v>194</v>
      </c>
    </row>
    <row r="33" spans="1:3" x14ac:dyDescent="0.35">
      <c r="A33" s="2">
        <v>32</v>
      </c>
      <c r="B33" s="4" t="s">
        <v>391</v>
      </c>
      <c r="C33" s="3" t="s">
        <v>217</v>
      </c>
    </row>
    <row r="34" spans="1:3" x14ac:dyDescent="0.35">
      <c r="A34" s="2">
        <v>33</v>
      </c>
      <c r="B34" s="4" t="s">
        <v>227</v>
      </c>
      <c r="C34" s="3" t="s">
        <v>217</v>
      </c>
    </row>
    <row r="35" spans="1:3" x14ac:dyDescent="0.35">
      <c r="A35" s="2">
        <v>34</v>
      </c>
      <c r="B35" s="4" t="s">
        <v>233</v>
      </c>
      <c r="C35" s="3" t="s">
        <v>217</v>
      </c>
    </row>
    <row r="36" spans="1:3" x14ac:dyDescent="0.35">
      <c r="A36" s="2">
        <v>35</v>
      </c>
      <c r="B36" s="4" t="s">
        <v>240</v>
      </c>
      <c r="C36" s="3" t="s">
        <v>217</v>
      </c>
    </row>
    <row r="37" spans="1:3" x14ac:dyDescent="0.35">
      <c r="A37" s="2">
        <v>36</v>
      </c>
      <c r="B37" s="4" t="s">
        <v>392</v>
      </c>
      <c r="C37" s="3" t="s">
        <v>217</v>
      </c>
    </row>
    <row r="38" spans="1:3" x14ac:dyDescent="0.35">
      <c r="A38" s="2">
        <v>37</v>
      </c>
      <c r="B38" s="4" t="s">
        <v>393</v>
      </c>
      <c r="C38" s="3" t="s">
        <v>217</v>
      </c>
    </row>
    <row r="39" spans="1:3" x14ac:dyDescent="0.35">
      <c r="A39" s="2">
        <v>38</v>
      </c>
      <c r="B39" s="4" t="s">
        <v>394</v>
      </c>
      <c r="C39" s="3" t="s">
        <v>258</v>
      </c>
    </row>
    <row r="40" spans="1:3" x14ac:dyDescent="0.35">
      <c r="A40" s="2">
        <v>39</v>
      </c>
      <c r="B40" s="4" t="s">
        <v>395</v>
      </c>
      <c r="C40" s="3" t="s">
        <v>258</v>
      </c>
    </row>
    <row r="41" spans="1:3" x14ac:dyDescent="0.35">
      <c r="A41" s="2">
        <v>40</v>
      </c>
      <c r="B41" s="4" t="s">
        <v>272</v>
      </c>
      <c r="C41" s="3" t="s">
        <v>258</v>
      </c>
    </row>
    <row r="42" spans="1:3" x14ac:dyDescent="0.35">
      <c r="A42" s="2">
        <v>41</v>
      </c>
      <c r="B42" s="4" t="s">
        <v>277</v>
      </c>
      <c r="C42" s="3" t="s">
        <v>258</v>
      </c>
    </row>
    <row r="43" spans="1:3" x14ac:dyDescent="0.35">
      <c r="A43" s="2">
        <v>42</v>
      </c>
      <c r="B43" s="4" t="s">
        <v>283</v>
      </c>
      <c r="C43" s="3" t="s">
        <v>258</v>
      </c>
    </row>
    <row r="44" spans="1:3" x14ac:dyDescent="0.35">
      <c r="A44" s="2">
        <v>43</v>
      </c>
      <c r="B44" s="4" t="s">
        <v>396</v>
      </c>
      <c r="C44" s="3" t="s">
        <v>258</v>
      </c>
    </row>
    <row r="45" spans="1:3" x14ac:dyDescent="0.35">
      <c r="A45" s="2">
        <v>44</v>
      </c>
      <c r="B45" s="4" t="s">
        <v>397</v>
      </c>
      <c r="C45" s="3" t="s">
        <v>294</v>
      </c>
    </row>
    <row r="46" spans="1:3" x14ac:dyDescent="0.35">
      <c r="A46" s="2">
        <v>45</v>
      </c>
      <c r="B46" s="4" t="s">
        <v>398</v>
      </c>
      <c r="C46" s="3" t="s">
        <v>294</v>
      </c>
    </row>
    <row r="47" spans="1:3" x14ac:dyDescent="0.35">
      <c r="A47" s="2">
        <v>46</v>
      </c>
      <c r="B47" s="4" t="s">
        <v>399</v>
      </c>
      <c r="C47" s="3" t="s">
        <v>294</v>
      </c>
    </row>
    <row r="48" spans="1:3" x14ac:dyDescent="0.35">
      <c r="A48" s="2">
        <v>47</v>
      </c>
      <c r="B48" s="4" t="s">
        <v>314</v>
      </c>
      <c r="C48" s="3" t="s">
        <v>294</v>
      </c>
    </row>
    <row r="49" spans="1:3" x14ac:dyDescent="0.35">
      <c r="A49" s="2">
        <v>48</v>
      </c>
      <c r="B49" s="4" t="s">
        <v>319</v>
      </c>
      <c r="C49" s="3" t="s">
        <v>294</v>
      </c>
    </row>
    <row r="50" spans="1:3" x14ac:dyDescent="0.35">
      <c r="A50" s="2">
        <v>49</v>
      </c>
      <c r="B50" s="4" t="s">
        <v>324</v>
      </c>
      <c r="C50" s="3" t="s">
        <v>294</v>
      </c>
    </row>
    <row r="51" spans="1:3" x14ac:dyDescent="0.35">
      <c r="A51" s="2">
        <v>50</v>
      </c>
      <c r="B51" s="4" t="s">
        <v>330</v>
      </c>
      <c r="C51" s="3" t="s">
        <v>327</v>
      </c>
    </row>
    <row r="52" spans="1:3" x14ac:dyDescent="0.35">
      <c r="A52" s="2">
        <v>51</v>
      </c>
      <c r="B52" s="4" t="s">
        <v>400</v>
      </c>
      <c r="C52" s="3" t="s">
        <v>327</v>
      </c>
    </row>
    <row r="53" spans="1:3" x14ac:dyDescent="0.35">
      <c r="A53" s="2">
        <v>52</v>
      </c>
      <c r="B53" s="4" t="s">
        <v>401</v>
      </c>
      <c r="C53" s="3" t="s">
        <v>327</v>
      </c>
    </row>
    <row r="54" spans="1:3" x14ac:dyDescent="0.35">
      <c r="A54" s="2">
        <v>53</v>
      </c>
      <c r="B54" s="4" t="s">
        <v>402</v>
      </c>
      <c r="C54" s="3" t="s">
        <v>327</v>
      </c>
    </row>
    <row r="55" spans="1:3" x14ac:dyDescent="0.35">
      <c r="A55" s="2">
        <v>54</v>
      </c>
      <c r="B55" s="4" t="s">
        <v>354</v>
      </c>
      <c r="C55" s="3" t="s">
        <v>327</v>
      </c>
    </row>
    <row r="56" spans="1:3" x14ac:dyDescent="0.35">
      <c r="A56" s="2">
        <v>55</v>
      </c>
      <c r="B56" s="4" t="s">
        <v>403</v>
      </c>
      <c r="C56" s="3" t="s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tabSelected="1" workbookViewId="0">
      <pane xSplit="2" ySplit="1" topLeftCell="C48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13" customWidth="1"/>
    <col min="2" max="2" width="10" customWidth="1"/>
    <col min="3" max="3" width="36.90625" customWidth="1"/>
    <col min="4" max="4" width="86.1796875" customWidth="1"/>
    <col min="5" max="5" width="68.81640625" customWidth="1"/>
    <col min="6" max="6" width="56" customWidth="1"/>
    <col min="7" max="7" width="49.453125" customWidth="1"/>
    <col min="8" max="8" width="56" customWidth="1"/>
    <col min="9" max="9" width="13" customWidth="1"/>
    <col min="10" max="10" width="26" customWidth="1"/>
    <col min="11" max="11" width="42" customWidth="1"/>
    <col min="12" max="12" width="12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6" customHeight="1" x14ac:dyDescent="0.35">
      <c r="A2" s="3" t="s">
        <v>13</v>
      </c>
      <c r="B2" s="6">
        <v>2</v>
      </c>
      <c r="C2" s="4" t="s">
        <v>14</v>
      </c>
      <c r="D2" s="4" t="s">
        <v>15</v>
      </c>
      <c r="E2" s="7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7" t="s">
        <v>21</v>
      </c>
      <c r="K2" s="4" t="s">
        <v>22</v>
      </c>
      <c r="L2" s="5" t="s">
        <v>23</v>
      </c>
      <c r="M2" s="7" t="s">
        <v>24</v>
      </c>
    </row>
    <row r="3" spans="1:13" ht="66" customHeight="1" x14ac:dyDescent="0.35">
      <c r="A3" s="3" t="s">
        <v>13</v>
      </c>
      <c r="B3" s="6">
        <v>2</v>
      </c>
      <c r="C3" s="4" t="s">
        <v>25</v>
      </c>
      <c r="D3" s="4" t="s">
        <v>26</v>
      </c>
      <c r="E3" s="7" t="s">
        <v>16</v>
      </c>
      <c r="F3" s="4" t="s">
        <v>27</v>
      </c>
      <c r="G3" s="4" t="s">
        <v>28</v>
      </c>
      <c r="H3" s="4" t="s">
        <v>29</v>
      </c>
      <c r="I3" s="4" t="s">
        <v>20</v>
      </c>
      <c r="J3" s="7" t="s">
        <v>30</v>
      </c>
      <c r="K3" s="4" t="s">
        <v>31</v>
      </c>
      <c r="L3" s="5" t="s">
        <v>32</v>
      </c>
      <c r="M3" s="7" t="s">
        <v>24</v>
      </c>
    </row>
    <row r="4" spans="1:13" ht="66" customHeight="1" x14ac:dyDescent="0.35">
      <c r="A4" s="3" t="s">
        <v>13</v>
      </c>
      <c r="B4" s="6">
        <v>2</v>
      </c>
      <c r="C4" s="4" t="s">
        <v>33</v>
      </c>
      <c r="D4" s="4" t="s">
        <v>34</v>
      </c>
      <c r="E4" s="7" t="s">
        <v>16</v>
      </c>
      <c r="F4" s="4" t="s">
        <v>35</v>
      </c>
      <c r="G4" s="4" t="s">
        <v>36</v>
      </c>
      <c r="H4" s="4" t="s">
        <v>37</v>
      </c>
      <c r="I4" s="4" t="s">
        <v>20</v>
      </c>
      <c r="J4" s="7" t="s">
        <v>30</v>
      </c>
      <c r="K4" s="4" t="s">
        <v>38</v>
      </c>
      <c r="L4" s="5" t="s">
        <v>23</v>
      </c>
      <c r="M4" s="7" t="s">
        <v>24</v>
      </c>
    </row>
    <row r="5" spans="1:13" ht="66" customHeight="1" x14ac:dyDescent="0.35">
      <c r="A5" s="3" t="s">
        <v>13</v>
      </c>
      <c r="B5" s="6">
        <v>2</v>
      </c>
      <c r="C5" s="4" t="s">
        <v>39</v>
      </c>
      <c r="D5" s="4" t="s">
        <v>40</v>
      </c>
      <c r="E5" s="7" t="s">
        <v>16</v>
      </c>
      <c r="F5" s="4" t="s">
        <v>41</v>
      </c>
      <c r="G5" s="4" t="s">
        <v>42</v>
      </c>
      <c r="H5" s="4" t="s">
        <v>43</v>
      </c>
      <c r="I5" s="4" t="s">
        <v>20</v>
      </c>
      <c r="J5" s="7" t="s">
        <v>30</v>
      </c>
      <c r="K5" s="4" t="s">
        <v>44</v>
      </c>
      <c r="L5" s="5" t="s">
        <v>45</v>
      </c>
      <c r="M5" s="7" t="s">
        <v>24</v>
      </c>
    </row>
    <row r="6" spans="1:13" ht="66" customHeight="1" x14ac:dyDescent="0.35">
      <c r="A6" s="3" t="s">
        <v>13</v>
      </c>
      <c r="B6" s="6">
        <v>2</v>
      </c>
      <c r="C6" s="4" t="s">
        <v>46</v>
      </c>
      <c r="D6" s="4" t="s">
        <v>47</v>
      </c>
      <c r="E6" s="7" t="s">
        <v>16</v>
      </c>
      <c r="F6" s="4" t="s">
        <v>48</v>
      </c>
      <c r="G6" s="4" t="s">
        <v>49</v>
      </c>
      <c r="H6" s="4" t="s">
        <v>50</v>
      </c>
      <c r="I6" s="4" t="s">
        <v>20</v>
      </c>
      <c r="J6" s="7" t="s">
        <v>30</v>
      </c>
      <c r="K6" s="4" t="s">
        <v>51</v>
      </c>
      <c r="L6" s="5" t="s">
        <v>52</v>
      </c>
      <c r="M6" s="7" t="s">
        <v>24</v>
      </c>
    </row>
    <row r="7" spans="1:13" ht="66" customHeight="1" x14ac:dyDescent="0.35">
      <c r="A7" s="3" t="s">
        <v>13</v>
      </c>
      <c r="B7" s="8">
        <v>3</v>
      </c>
      <c r="C7" s="4" t="s">
        <v>53</v>
      </c>
      <c r="D7" s="4" t="s">
        <v>54</v>
      </c>
      <c r="E7" s="7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7" t="s">
        <v>21</v>
      </c>
      <c r="K7" s="4" t="s">
        <v>60</v>
      </c>
      <c r="L7" s="5" t="s">
        <v>61</v>
      </c>
      <c r="M7" s="7" t="s">
        <v>24</v>
      </c>
    </row>
    <row r="8" spans="1:13" ht="66" customHeight="1" x14ac:dyDescent="0.35">
      <c r="A8" s="3" t="s">
        <v>13</v>
      </c>
      <c r="B8" s="6">
        <v>2</v>
      </c>
      <c r="C8" s="4" t="s">
        <v>62</v>
      </c>
      <c r="D8" s="4" t="s">
        <v>63</v>
      </c>
      <c r="E8" s="7" t="s">
        <v>16</v>
      </c>
      <c r="F8" s="4" t="s">
        <v>64</v>
      </c>
      <c r="G8" s="4" t="s">
        <v>65</v>
      </c>
      <c r="H8" s="4" t="s">
        <v>66</v>
      </c>
      <c r="I8" s="4" t="s">
        <v>20</v>
      </c>
      <c r="J8" s="7" t="s">
        <v>30</v>
      </c>
      <c r="K8" s="4" t="s">
        <v>66</v>
      </c>
      <c r="L8" s="5" t="s">
        <v>32</v>
      </c>
      <c r="M8" s="7" t="s">
        <v>24</v>
      </c>
    </row>
    <row r="9" spans="1:13" ht="66" customHeight="1" x14ac:dyDescent="0.35">
      <c r="A9" s="3" t="s">
        <v>67</v>
      </c>
      <c r="B9" s="6">
        <v>2</v>
      </c>
      <c r="C9" s="4" t="s">
        <v>68</v>
      </c>
      <c r="D9" s="4" t="s">
        <v>69</v>
      </c>
      <c r="E9" s="7" t="s">
        <v>55</v>
      </c>
      <c r="F9" s="4" t="s">
        <v>70</v>
      </c>
      <c r="G9" s="4" t="s">
        <v>71</v>
      </c>
      <c r="H9" s="4" t="s">
        <v>72</v>
      </c>
      <c r="I9" s="4" t="s">
        <v>59</v>
      </c>
      <c r="J9" s="7" t="s">
        <v>30</v>
      </c>
      <c r="K9" s="4" t="s">
        <v>73</v>
      </c>
      <c r="L9" s="5" t="s">
        <v>74</v>
      </c>
      <c r="M9" s="7" t="s">
        <v>24</v>
      </c>
    </row>
    <row r="10" spans="1:13" ht="66" customHeight="1" x14ac:dyDescent="0.35">
      <c r="A10" s="3" t="s">
        <v>67</v>
      </c>
      <c r="B10" s="6">
        <v>2</v>
      </c>
      <c r="C10" s="4" t="s">
        <v>75</v>
      </c>
      <c r="D10" s="4" t="s">
        <v>76</v>
      </c>
      <c r="E10" s="7" t="s">
        <v>55</v>
      </c>
      <c r="F10" s="4" t="s">
        <v>77</v>
      </c>
      <c r="G10" s="4" t="s">
        <v>78</v>
      </c>
      <c r="H10" s="4" t="s">
        <v>79</v>
      </c>
      <c r="I10" s="4" t="s">
        <v>59</v>
      </c>
      <c r="J10" s="7" t="s">
        <v>30</v>
      </c>
      <c r="K10" s="4" t="s">
        <v>79</v>
      </c>
      <c r="L10" s="5" t="s">
        <v>45</v>
      </c>
      <c r="M10" s="7" t="s">
        <v>24</v>
      </c>
    </row>
    <row r="11" spans="1:13" ht="66" customHeight="1" x14ac:dyDescent="0.35">
      <c r="A11" s="3" t="s">
        <v>67</v>
      </c>
      <c r="B11" s="6">
        <v>2</v>
      </c>
      <c r="C11" s="4" t="s">
        <v>80</v>
      </c>
      <c r="D11" s="4" t="s">
        <v>81</v>
      </c>
      <c r="E11" s="7" t="s">
        <v>55</v>
      </c>
      <c r="F11" s="4" t="s">
        <v>82</v>
      </c>
      <c r="G11" s="4" t="s">
        <v>83</v>
      </c>
      <c r="H11" s="4" t="s">
        <v>84</v>
      </c>
      <c r="I11" s="4" t="s">
        <v>59</v>
      </c>
      <c r="J11" s="7" t="s">
        <v>21</v>
      </c>
      <c r="K11" s="4" t="s">
        <v>85</v>
      </c>
      <c r="L11" s="5" t="s">
        <v>61</v>
      </c>
      <c r="M11" s="7" t="s">
        <v>24</v>
      </c>
    </row>
    <row r="12" spans="1:13" ht="66" customHeight="1" x14ac:dyDescent="0.35">
      <c r="A12" s="3" t="s">
        <v>67</v>
      </c>
      <c r="B12" s="8">
        <v>3</v>
      </c>
      <c r="C12" s="4" t="s">
        <v>86</v>
      </c>
      <c r="D12" s="4" t="s">
        <v>87</v>
      </c>
      <c r="E12" s="7" t="s">
        <v>55</v>
      </c>
      <c r="F12" s="4" t="s">
        <v>88</v>
      </c>
      <c r="G12" s="4" t="s">
        <v>89</v>
      </c>
      <c r="H12" s="4" t="s">
        <v>90</v>
      </c>
      <c r="I12" s="4" t="s">
        <v>59</v>
      </c>
      <c r="J12" s="7" t="s">
        <v>21</v>
      </c>
      <c r="K12" s="4" t="s">
        <v>90</v>
      </c>
      <c r="L12" s="5" t="s">
        <v>91</v>
      </c>
      <c r="M12" s="7" t="s">
        <v>24</v>
      </c>
    </row>
    <row r="13" spans="1:13" ht="66" customHeight="1" x14ac:dyDescent="0.35">
      <c r="A13" s="3" t="s">
        <v>67</v>
      </c>
      <c r="B13" s="6">
        <v>2</v>
      </c>
      <c r="C13" s="4" t="s">
        <v>92</v>
      </c>
      <c r="D13" s="4" t="s">
        <v>93</v>
      </c>
      <c r="E13" s="7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7" t="s">
        <v>30</v>
      </c>
      <c r="K13" s="4" t="s">
        <v>97</v>
      </c>
      <c r="L13" s="5" t="s">
        <v>99</v>
      </c>
      <c r="M13" s="7" t="s">
        <v>24</v>
      </c>
    </row>
    <row r="14" spans="1:13" ht="66" customHeight="1" x14ac:dyDescent="0.35">
      <c r="A14" s="3" t="s">
        <v>67</v>
      </c>
      <c r="B14" s="6">
        <v>2</v>
      </c>
      <c r="C14" s="4" t="s">
        <v>100</v>
      </c>
      <c r="D14" s="4" t="s">
        <v>101</v>
      </c>
      <c r="E14" s="7" t="s">
        <v>55</v>
      </c>
      <c r="F14" s="4" t="s">
        <v>102</v>
      </c>
      <c r="G14" s="4" t="s">
        <v>103</v>
      </c>
      <c r="H14" s="4" t="s">
        <v>84</v>
      </c>
      <c r="I14" s="4" t="s">
        <v>59</v>
      </c>
      <c r="J14" s="7" t="s">
        <v>21</v>
      </c>
      <c r="K14" s="4" t="s">
        <v>104</v>
      </c>
      <c r="L14" s="5" t="s">
        <v>61</v>
      </c>
      <c r="M14" s="7" t="s">
        <v>24</v>
      </c>
    </row>
    <row r="15" spans="1:13" ht="66" customHeight="1" x14ac:dyDescent="0.35">
      <c r="A15" s="3" t="s">
        <v>105</v>
      </c>
      <c r="B15" s="6">
        <v>2</v>
      </c>
      <c r="C15" s="4" t="s">
        <v>106</v>
      </c>
      <c r="D15" s="4" t="s">
        <v>107</v>
      </c>
      <c r="E15" s="7" t="s">
        <v>108</v>
      </c>
      <c r="F15" s="4" t="s">
        <v>109</v>
      </c>
      <c r="G15" s="4" t="s">
        <v>110</v>
      </c>
      <c r="H15" s="4" t="s">
        <v>79</v>
      </c>
      <c r="I15" s="4" t="s">
        <v>111</v>
      </c>
      <c r="J15" s="7" t="s">
        <v>21</v>
      </c>
      <c r="K15" s="4" t="s">
        <v>112</v>
      </c>
      <c r="L15" s="5" t="s">
        <v>23</v>
      </c>
      <c r="M15" s="7" t="s">
        <v>24</v>
      </c>
    </row>
    <row r="16" spans="1:13" ht="66" customHeight="1" x14ac:dyDescent="0.35">
      <c r="A16" s="3" t="s">
        <v>105</v>
      </c>
      <c r="B16" s="6">
        <v>2</v>
      </c>
      <c r="C16" s="4" t="s">
        <v>113</v>
      </c>
      <c r="D16" s="4" t="s">
        <v>114</v>
      </c>
      <c r="E16" s="7" t="s">
        <v>94</v>
      </c>
      <c r="F16" s="4" t="s">
        <v>115</v>
      </c>
      <c r="G16" s="4" t="s">
        <v>116</v>
      </c>
      <c r="H16" s="4" t="s">
        <v>117</v>
      </c>
      <c r="I16" s="4" t="s">
        <v>118</v>
      </c>
      <c r="J16" s="7" t="s">
        <v>21</v>
      </c>
      <c r="K16" s="4" t="s">
        <v>119</v>
      </c>
      <c r="L16" s="5" t="s">
        <v>23</v>
      </c>
      <c r="M16" s="7" t="s">
        <v>24</v>
      </c>
    </row>
    <row r="17" spans="1:13" ht="66" customHeight="1" x14ac:dyDescent="0.35">
      <c r="A17" s="3" t="s">
        <v>105</v>
      </c>
      <c r="B17" s="6">
        <v>2</v>
      </c>
      <c r="C17" s="4" t="s">
        <v>120</v>
      </c>
      <c r="D17" s="4" t="s">
        <v>121</v>
      </c>
      <c r="E17" s="7" t="s">
        <v>16</v>
      </c>
      <c r="F17" s="4" t="s">
        <v>122</v>
      </c>
      <c r="G17" s="4" t="s">
        <v>123</v>
      </c>
      <c r="H17" s="4" t="s">
        <v>124</v>
      </c>
      <c r="I17" s="4" t="s">
        <v>98</v>
      </c>
      <c r="J17" s="7" t="s">
        <v>30</v>
      </c>
      <c r="K17" s="4" t="s">
        <v>125</v>
      </c>
      <c r="L17" s="5" t="s">
        <v>99</v>
      </c>
      <c r="M17" s="7" t="s">
        <v>24</v>
      </c>
    </row>
    <row r="18" spans="1:13" ht="66" customHeight="1" x14ac:dyDescent="0.35">
      <c r="A18" s="3" t="s">
        <v>105</v>
      </c>
      <c r="B18" s="6">
        <v>2</v>
      </c>
      <c r="C18" s="4" t="s">
        <v>126</v>
      </c>
      <c r="D18" s="4" t="s">
        <v>127</v>
      </c>
      <c r="E18" s="7" t="s">
        <v>94</v>
      </c>
      <c r="F18" s="4" t="s">
        <v>128</v>
      </c>
      <c r="G18" s="4" t="s">
        <v>129</v>
      </c>
      <c r="H18" s="4" t="s">
        <v>130</v>
      </c>
      <c r="I18" s="4" t="s">
        <v>131</v>
      </c>
      <c r="J18" s="7" t="s">
        <v>21</v>
      </c>
      <c r="K18" s="4" t="s">
        <v>132</v>
      </c>
      <c r="L18" s="5" t="s">
        <v>23</v>
      </c>
      <c r="M18" s="7" t="s">
        <v>24</v>
      </c>
    </row>
    <row r="19" spans="1:13" ht="66" customHeight="1" x14ac:dyDescent="0.35">
      <c r="A19" s="3" t="s">
        <v>105</v>
      </c>
      <c r="B19" s="6">
        <v>2</v>
      </c>
      <c r="C19" s="4" t="s">
        <v>133</v>
      </c>
      <c r="D19" s="4" t="s">
        <v>134</v>
      </c>
      <c r="E19" s="7" t="s">
        <v>94</v>
      </c>
      <c r="F19" s="4" t="s">
        <v>135</v>
      </c>
      <c r="G19" s="4" t="s">
        <v>136</v>
      </c>
      <c r="H19" s="4" t="s">
        <v>137</v>
      </c>
      <c r="I19" s="4" t="s">
        <v>118</v>
      </c>
      <c r="J19" s="7" t="s">
        <v>21</v>
      </c>
      <c r="K19" s="4" t="s">
        <v>138</v>
      </c>
      <c r="L19" s="5" t="s">
        <v>139</v>
      </c>
      <c r="M19" s="7" t="s">
        <v>24</v>
      </c>
    </row>
    <row r="20" spans="1:13" ht="66" customHeight="1" x14ac:dyDescent="0.35">
      <c r="A20" s="3" t="s">
        <v>105</v>
      </c>
      <c r="B20" s="6">
        <v>2</v>
      </c>
      <c r="C20" s="4" t="s">
        <v>140</v>
      </c>
      <c r="D20" s="4" t="s">
        <v>141</v>
      </c>
      <c r="E20" s="7" t="s">
        <v>94</v>
      </c>
      <c r="F20" s="4" t="s">
        <v>142</v>
      </c>
      <c r="G20" s="4" t="s">
        <v>143</v>
      </c>
      <c r="H20" s="4" t="s">
        <v>137</v>
      </c>
      <c r="I20" s="4" t="s">
        <v>118</v>
      </c>
      <c r="J20" s="7" t="s">
        <v>21</v>
      </c>
      <c r="K20" s="4" t="s">
        <v>144</v>
      </c>
      <c r="L20" s="5" t="s">
        <v>139</v>
      </c>
      <c r="M20" s="7" t="s">
        <v>24</v>
      </c>
    </row>
    <row r="21" spans="1:13" ht="66" customHeight="1" x14ac:dyDescent="0.35">
      <c r="A21" s="3" t="s">
        <v>105</v>
      </c>
      <c r="B21" s="6">
        <v>2</v>
      </c>
      <c r="C21" s="4" t="s">
        <v>145</v>
      </c>
      <c r="D21" s="4" t="s">
        <v>146</v>
      </c>
      <c r="E21" s="7" t="s">
        <v>16</v>
      </c>
      <c r="F21" s="4" t="s">
        <v>147</v>
      </c>
      <c r="G21" s="4" t="s">
        <v>148</v>
      </c>
      <c r="H21" s="4" t="s">
        <v>149</v>
      </c>
      <c r="I21" s="4" t="s">
        <v>98</v>
      </c>
      <c r="J21" s="7" t="s">
        <v>21</v>
      </c>
      <c r="K21" s="4" t="s">
        <v>150</v>
      </c>
      <c r="L21" s="5" t="s">
        <v>139</v>
      </c>
      <c r="M21" s="7" t="s">
        <v>24</v>
      </c>
    </row>
    <row r="22" spans="1:13" ht="66" customHeight="1" x14ac:dyDescent="0.35">
      <c r="A22" s="3" t="s">
        <v>105</v>
      </c>
      <c r="B22" s="6">
        <v>2</v>
      </c>
      <c r="C22" s="4" t="s">
        <v>151</v>
      </c>
      <c r="D22" s="4" t="s">
        <v>152</v>
      </c>
      <c r="E22" s="7" t="s">
        <v>16</v>
      </c>
      <c r="F22" s="4" t="s">
        <v>153</v>
      </c>
      <c r="G22" s="4" t="s">
        <v>154</v>
      </c>
      <c r="H22" s="4" t="s">
        <v>155</v>
      </c>
      <c r="I22" s="4" t="s">
        <v>98</v>
      </c>
      <c r="J22" s="7" t="s">
        <v>21</v>
      </c>
      <c r="K22" s="4" t="s">
        <v>156</v>
      </c>
      <c r="L22" s="5" t="s">
        <v>139</v>
      </c>
      <c r="M22" s="7" t="s">
        <v>24</v>
      </c>
    </row>
    <row r="23" spans="1:13" ht="66" customHeight="1" x14ac:dyDescent="0.35">
      <c r="A23" s="3" t="s">
        <v>157</v>
      </c>
      <c r="B23" s="6">
        <v>2</v>
      </c>
      <c r="C23" s="4" t="s">
        <v>158</v>
      </c>
      <c r="D23" s="4" t="s">
        <v>159</v>
      </c>
      <c r="E23" s="9" t="s">
        <v>108</v>
      </c>
      <c r="F23" s="4" t="s">
        <v>160</v>
      </c>
      <c r="G23" s="4" t="s">
        <v>161</v>
      </c>
      <c r="H23" s="4" t="s">
        <v>79</v>
      </c>
      <c r="I23" s="4" t="s">
        <v>162</v>
      </c>
      <c r="J23" s="7" t="s">
        <v>21</v>
      </c>
      <c r="K23" s="4" t="s">
        <v>163</v>
      </c>
      <c r="L23" s="5" t="s">
        <v>23</v>
      </c>
      <c r="M23" s="9" t="s">
        <v>164</v>
      </c>
    </row>
    <row r="24" spans="1:13" ht="66" customHeight="1" x14ac:dyDescent="0.35">
      <c r="A24" s="3" t="s">
        <v>157</v>
      </c>
      <c r="B24" s="6">
        <v>2</v>
      </c>
      <c r="C24" s="4" t="s">
        <v>165</v>
      </c>
      <c r="D24" s="4" t="s">
        <v>166</v>
      </c>
      <c r="E24" s="7" t="s">
        <v>94</v>
      </c>
      <c r="F24" s="4" t="s">
        <v>167</v>
      </c>
      <c r="G24" s="4" t="s">
        <v>168</v>
      </c>
      <c r="H24" s="4" t="s">
        <v>169</v>
      </c>
      <c r="I24" s="4" t="s">
        <v>131</v>
      </c>
      <c r="J24" s="7" t="s">
        <v>21</v>
      </c>
      <c r="K24" s="4" t="s">
        <v>170</v>
      </c>
      <c r="L24" s="5" t="s">
        <v>23</v>
      </c>
      <c r="M24" s="7" t="s">
        <v>24</v>
      </c>
    </row>
    <row r="25" spans="1:13" ht="66" customHeight="1" x14ac:dyDescent="0.35">
      <c r="A25" s="3" t="s">
        <v>157</v>
      </c>
      <c r="B25" s="6">
        <v>2</v>
      </c>
      <c r="C25" s="4" t="s">
        <v>171</v>
      </c>
      <c r="D25" s="4" t="s">
        <v>172</v>
      </c>
      <c r="E25" s="7" t="s">
        <v>94</v>
      </c>
      <c r="F25" s="4" t="s">
        <v>173</v>
      </c>
      <c r="G25" s="4" t="s">
        <v>174</v>
      </c>
      <c r="H25" s="4" t="s">
        <v>175</v>
      </c>
      <c r="I25" s="4" t="s">
        <v>131</v>
      </c>
      <c r="J25" s="7" t="s">
        <v>21</v>
      </c>
      <c r="K25" s="4" t="s">
        <v>176</v>
      </c>
      <c r="L25" s="5" t="s">
        <v>177</v>
      </c>
      <c r="M25" s="7" t="s">
        <v>24</v>
      </c>
    </row>
    <row r="26" spans="1:13" ht="66" customHeight="1" x14ac:dyDescent="0.35">
      <c r="A26" s="3" t="s">
        <v>157</v>
      </c>
      <c r="B26" s="6">
        <v>2</v>
      </c>
      <c r="C26" s="4" t="s">
        <v>178</v>
      </c>
      <c r="D26" s="4" t="s">
        <v>179</v>
      </c>
      <c r="E26" s="7" t="s">
        <v>94</v>
      </c>
      <c r="F26" s="4" t="s">
        <v>180</v>
      </c>
      <c r="G26" s="4" t="s">
        <v>181</v>
      </c>
      <c r="H26" s="4" t="s">
        <v>182</v>
      </c>
      <c r="I26" s="4" t="s">
        <v>98</v>
      </c>
      <c r="J26" s="7" t="s">
        <v>21</v>
      </c>
      <c r="K26" s="4" t="s">
        <v>182</v>
      </c>
      <c r="L26" s="5" t="s">
        <v>177</v>
      </c>
      <c r="M26" s="7" t="s">
        <v>24</v>
      </c>
    </row>
    <row r="27" spans="1:13" ht="66" customHeight="1" x14ac:dyDescent="0.35">
      <c r="A27" s="3" t="s">
        <v>157</v>
      </c>
      <c r="B27" s="6">
        <v>2</v>
      </c>
      <c r="C27" s="4" t="s">
        <v>183</v>
      </c>
      <c r="D27" s="4" t="s">
        <v>184</v>
      </c>
      <c r="E27" s="7" t="s">
        <v>16</v>
      </c>
      <c r="F27" s="4" t="s">
        <v>185</v>
      </c>
      <c r="G27" s="4" t="s">
        <v>186</v>
      </c>
      <c r="H27" s="4" t="s">
        <v>37</v>
      </c>
      <c r="I27" s="4" t="s">
        <v>98</v>
      </c>
      <c r="J27" s="7" t="s">
        <v>21</v>
      </c>
      <c r="K27" s="4" t="s">
        <v>187</v>
      </c>
      <c r="L27" s="5" t="s">
        <v>177</v>
      </c>
      <c r="M27" s="7" t="s">
        <v>24</v>
      </c>
    </row>
    <row r="28" spans="1:13" ht="66" customHeight="1" x14ac:dyDescent="0.35">
      <c r="A28" s="3" t="s">
        <v>157</v>
      </c>
      <c r="B28" s="6">
        <v>2</v>
      </c>
      <c r="C28" s="4" t="s">
        <v>188</v>
      </c>
      <c r="D28" s="4" t="s">
        <v>189</v>
      </c>
      <c r="E28" s="7" t="s">
        <v>94</v>
      </c>
      <c r="F28" s="4" t="s">
        <v>190</v>
      </c>
      <c r="G28" s="4" t="s">
        <v>191</v>
      </c>
      <c r="H28" s="4" t="s">
        <v>192</v>
      </c>
      <c r="I28" s="4" t="s">
        <v>131</v>
      </c>
      <c r="J28" s="7" t="s">
        <v>21</v>
      </c>
      <c r="K28" s="4" t="s">
        <v>193</v>
      </c>
      <c r="L28" s="5" t="s">
        <v>177</v>
      </c>
      <c r="M28" s="7" t="s">
        <v>24</v>
      </c>
    </row>
    <row r="29" spans="1:13" ht="66" customHeight="1" x14ac:dyDescent="0.35">
      <c r="A29" s="3" t="s">
        <v>194</v>
      </c>
      <c r="B29" s="6">
        <v>2</v>
      </c>
      <c r="C29" s="4" t="s">
        <v>195</v>
      </c>
      <c r="D29" s="4" t="s">
        <v>196</v>
      </c>
      <c r="E29" s="7" t="s">
        <v>16</v>
      </c>
      <c r="F29" s="4" t="s">
        <v>197</v>
      </c>
      <c r="G29" s="4" t="s">
        <v>198</v>
      </c>
      <c r="H29" s="4" t="s">
        <v>199</v>
      </c>
      <c r="I29" s="4" t="s">
        <v>20</v>
      </c>
      <c r="J29" s="7" t="s">
        <v>30</v>
      </c>
      <c r="K29" s="4" t="s">
        <v>200</v>
      </c>
      <c r="L29" s="5" t="s">
        <v>52</v>
      </c>
      <c r="M29" s="7" t="s">
        <v>24</v>
      </c>
    </row>
    <row r="30" spans="1:13" ht="66" customHeight="1" x14ac:dyDescent="0.35">
      <c r="A30" s="3" t="s">
        <v>194</v>
      </c>
      <c r="B30" s="6">
        <v>2</v>
      </c>
      <c r="C30" s="4" t="s">
        <v>201</v>
      </c>
      <c r="D30" s="4" t="s">
        <v>202</v>
      </c>
      <c r="E30" s="7" t="s">
        <v>16</v>
      </c>
      <c r="F30" s="4" t="s">
        <v>203</v>
      </c>
      <c r="G30" s="4" t="s">
        <v>204</v>
      </c>
      <c r="H30" s="4" t="s">
        <v>205</v>
      </c>
      <c r="I30" s="4" t="s">
        <v>20</v>
      </c>
      <c r="J30" s="7" t="s">
        <v>30</v>
      </c>
      <c r="K30" s="4" t="s">
        <v>206</v>
      </c>
      <c r="L30" s="5" t="s">
        <v>52</v>
      </c>
      <c r="M30" s="7" t="s">
        <v>24</v>
      </c>
    </row>
    <row r="31" spans="1:13" ht="66" customHeight="1" x14ac:dyDescent="0.35">
      <c r="A31" s="3" t="s">
        <v>194</v>
      </c>
      <c r="B31" s="6">
        <v>2</v>
      </c>
      <c r="C31" s="4" t="s">
        <v>207</v>
      </c>
      <c r="D31" s="4" t="s">
        <v>208</v>
      </c>
      <c r="E31" s="7" t="s">
        <v>94</v>
      </c>
      <c r="F31" s="4" t="s">
        <v>209</v>
      </c>
      <c r="G31" s="4" t="s">
        <v>210</v>
      </c>
      <c r="H31" s="4" t="s">
        <v>205</v>
      </c>
      <c r="I31" s="4" t="s">
        <v>20</v>
      </c>
      <c r="J31" s="7" t="s">
        <v>30</v>
      </c>
      <c r="K31" s="4" t="s">
        <v>211</v>
      </c>
      <c r="L31" s="5" t="s">
        <v>52</v>
      </c>
      <c r="M31" s="7" t="s">
        <v>24</v>
      </c>
    </row>
    <row r="32" spans="1:13" ht="66" customHeight="1" x14ac:dyDescent="0.35">
      <c r="A32" s="3" t="s">
        <v>194</v>
      </c>
      <c r="B32" s="6">
        <v>2</v>
      </c>
      <c r="C32" s="4" t="s">
        <v>212</v>
      </c>
      <c r="D32" s="4" t="s">
        <v>213</v>
      </c>
      <c r="E32" s="7" t="s">
        <v>16</v>
      </c>
      <c r="F32" s="4" t="s">
        <v>214</v>
      </c>
      <c r="G32" s="4" t="s">
        <v>215</v>
      </c>
      <c r="H32" s="4" t="s">
        <v>199</v>
      </c>
      <c r="I32" s="4" t="s">
        <v>20</v>
      </c>
      <c r="J32" s="7" t="s">
        <v>30</v>
      </c>
      <c r="K32" s="4" t="s">
        <v>216</v>
      </c>
      <c r="L32" s="5" t="s">
        <v>52</v>
      </c>
      <c r="M32" s="7" t="s">
        <v>24</v>
      </c>
    </row>
    <row r="33" spans="1:13" ht="66" customHeight="1" x14ac:dyDescent="0.35">
      <c r="A33" s="3" t="s">
        <v>217</v>
      </c>
      <c r="B33" s="6">
        <v>2</v>
      </c>
      <c r="C33" s="4" t="s">
        <v>218</v>
      </c>
      <c r="D33" s="4" t="s">
        <v>219</v>
      </c>
      <c r="E33" s="9" t="s">
        <v>94</v>
      </c>
      <c r="F33" s="4" t="s">
        <v>220</v>
      </c>
      <c r="G33" s="4" t="s">
        <v>221</v>
      </c>
      <c r="H33" s="4" t="s">
        <v>222</v>
      </c>
      <c r="I33" s="4" t="s">
        <v>98</v>
      </c>
      <c r="J33" s="7" t="s">
        <v>30</v>
      </c>
      <c r="K33" s="4" t="s">
        <v>223</v>
      </c>
      <c r="L33" s="5" t="s">
        <v>224</v>
      </c>
      <c r="M33" s="9" t="s">
        <v>164</v>
      </c>
    </row>
    <row r="34" spans="1:13" ht="66" customHeight="1" x14ac:dyDescent="0.35">
      <c r="A34" s="3" t="s">
        <v>217</v>
      </c>
      <c r="B34" s="6">
        <v>2</v>
      </c>
      <c r="C34" s="4" t="s">
        <v>225</v>
      </c>
      <c r="D34" s="4" t="s">
        <v>226</v>
      </c>
      <c r="E34" s="7" t="s">
        <v>94</v>
      </c>
      <c r="F34" s="4" t="s">
        <v>227</v>
      </c>
      <c r="G34" s="4" t="s">
        <v>228</v>
      </c>
      <c r="H34" s="4" t="s">
        <v>229</v>
      </c>
      <c r="I34" s="4" t="s">
        <v>20</v>
      </c>
      <c r="J34" s="7" t="s">
        <v>30</v>
      </c>
      <c r="K34" s="4" t="s">
        <v>230</v>
      </c>
      <c r="L34" s="5" t="s">
        <v>99</v>
      </c>
      <c r="M34" s="7" t="s">
        <v>24</v>
      </c>
    </row>
    <row r="35" spans="1:13" ht="66" customHeight="1" x14ac:dyDescent="0.35">
      <c r="A35" s="3" t="s">
        <v>217</v>
      </c>
      <c r="B35" s="6">
        <v>2</v>
      </c>
      <c r="C35" s="4" t="s">
        <v>231</v>
      </c>
      <c r="D35" s="4" t="s">
        <v>232</v>
      </c>
      <c r="E35" s="7" t="s">
        <v>94</v>
      </c>
      <c r="F35" s="4" t="s">
        <v>233</v>
      </c>
      <c r="G35" s="4" t="s">
        <v>234</v>
      </c>
      <c r="H35" s="4" t="s">
        <v>235</v>
      </c>
      <c r="I35" s="4" t="s">
        <v>98</v>
      </c>
      <c r="J35" s="7" t="s">
        <v>21</v>
      </c>
      <c r="K35" s="4" t="s">
        <v>236</v>
      </c>
      <c r="L35" s="5" t="s">
        <v>237</v>
      </c>
      <c r="M35" s="7" t="s">
        <v>24</v>
      </c>
    </row>
    <row r="36" spans="1:13" ht="66" customHeight="1" x14ac:dyDescent="0.35">
      <c r="A36" s="3" t="s">
        <v>217</v>
      </c>
      <c r="B36" s="6">
        <v>2</v>
      </c>
      <c r="C36" s="4" t="s">
        <v>238</v>
      </c>
      <c r="D36" s="4" t="s">
        <v>239</v>
      </c>
      <c r="E36" s="7" t="s">
        <v>94</v>
      </c>
      <c r="F36" s="4" t="s">
        <v>240</v>
      </c>
      <c r="G36" s="4" t="s">
        <v>241</v>
      </c>
      <c r="H36" s="4" t="s">
        <v>242</v>
      </c>
      <c r="I36" s="4" t="s">
        <v>98</v>
      </c>
      <c r="J36" s="7" t="s">
        <v>21</v>
      </c>
      <c r="K36" s="4" t="s">
        <v>242</v>
      </c>
      <c r="L36" s="5" t="s">
        <v>139</v>
      </c>
      <c r="M36" s="7" t="s">
        <v>24</v>
      </c>
    </row>
    <row r="37" spans="1:13" ht="66" customHeight="1" x14ac:dyDescent="0.35">
      <c r="A37" s="3" t="s">
        <v>217</v>
      </c>
      <c r="B37" s="10">
        <v>1</v>
      </c>
      <c r="C37" s="4" t="s">
        <v>243</v>
      </c>
      <c r="D37" s="4" t="s">
        <v>244</v>
      </c>
      <c r="E37" s="9" t="s">
        <v>94</v>
      </c>
      <c r="F37" s="4" t="s">
        <v>245</v>
      </c>
      <c r="G37" s="4" t="s">
        <v>246</v>
      </c>
      <c r="H37" s="4" t="s">
        <v>247</v>
      </c>
      <c r="I37" s="4" t="s">
        <v>248</v>
      </c>
      <c r="J37" s="7" t="s">
        <v>30</v>
      </c>
      <c r="K37" s="4" t="s">
        <v>249</v>
      </c>
      <c r="L37" s="5" t="s">
        <v>250</v>
      </c>
      <c r="M37" s="9" t="s">
        <v>164</v>
      </c>
    </row>
    <row r="38" spans="1:13" ht="66" customHeight="1" x14ac:dyDescent="0.35">
      <c r="A38" s="3" t="s">
        <v>217</v>
      </c>
      <c r="B38" s="10">
        <v>1</v>
      </c>
      <c r="C38" s="4" t="s">
        <v>251</v>
      </c>
      <c r="D38" s="4" t="s">
        <v>252</v>
      </c>
      <c r="E38" s="7" t="s">
        <v>55</v>
      </c>
      <c r="F38" s="4" t="s">
        <v>253</v>
      </c>
      <c r="G38" s="4" t="s">
        <v>254</v>
      </c>
      <c r="H38" s="4" t="s">
        <v>255</v>
      </c>
      <c r="I38" s="4" t="s">
        <v>59</v>
      </c>
      <c r="J38" s="7" t="s">
        <v>30</v>
      </c>
      <c r="K38" s="4" t="s">
        <v>256</v>
      </c>
      <c r="L38" s="5" t="s">
        <v>257</v>
      </c>
      <c r="M38" s="7" t="s">
        <v>24</v>
      </c>
    </row>
    <row r="39" spans="1:13" ht="66" customHeight="1" x14ac:dyDescent="0.35">
      <c r="A39" s="3" t="s">
        <v>258</v>
      </c>
      <c r="B39" s="6">
        <v>2</v>
      </c>
      <c r="C39" s="4" t="s">
        <v>259</v>
      </c>
      <c r="D39" s="4" t="s">
        <v>260</v>
      </c>
      <c r="E39" s="7" t="s">
        <v>16</v>
      </c>
      <c r="F39" s="4" t="s">
        <v>261</v>
      </c>
      <c r="G39" s="4" t="s">
        <v>262</v>
      </c>
      <c r="H39" s="4" t="s">
        <v>263</v>
      </c>
      <c r="I39" s="4" t="s">
        <v>20</v>
      </c>
      <c r="J39" s="7" t="s">
        <v>30</v>
      </c>
      <c r="K39" s="4" t="s">
        <v>264</v>
      </c>
      <c r="L39" s="5" t="s">
        <v>32</v>
      </c>
      <c r="M39" s="7" t="s">
        <v>24</v>
      </c>
    </row>
    <row r="40" spans="1:13" ht="66" customHeight="1" x14ac:dyDescent="0.35">
      <c r="A40" s="3" t="s">
        <v>258</v>
      </c>
      <c r="B40" s="6">
        <v>2</v>
      </c>
      <c r="C40" s="4" t="s">
        <v>265</v>
      </c>
      <c r="D40" s="4" t="s">
        <v>266</v>
      </c>
      <c r="E40" s="7" t="s">
        <v>16</v>
      </c>
      <c r="F40" s="4" t="s">
        <v>267</v>
      </c>
      <c r="G40" s="4" t="s">
        <v>268</v>
      </c>
      <c r="H40" s="4" t="s">
        <v>269</v>
      </c>
      <c r="I40" s="4" t="s">
        <v>20</v>
      </c>
      <c r="J40" s="7" t="s">
        <v>30</v>
      </c>
      <c r="K40" s="4" t="s">
        <v>269</v>
      </c>
      <c r="L40" s="5" t="s">
        <v>139</v>
      </c>
      <c r="M40" s="7" t="s">
        <v>24</v>
      </c>
    </row>
    <row r="41" spans="1:13" ht="66" customHeight="1" x14ac:dyDescent="0.35">
      <c r="A41" s="3" t="s">
        <v>258</v>
      </c>
      <c r="B41" s="6">
        <v>2</v>
      </c>
      <c r="C41" s="4" t="s">
        <v>270</v>
      </c>
      <c r="D41" s="4" t="s">
        <v>271</v>
      </c>
      <c r="E41" s="7" t="s">
        <v>16</v>
      </c>
      <c r="F41" s="4" t="s">
        <v>272</v>
      </c>
      <c r="G41" s="4" t="s">
        <v>273</v>
      </c>
      <c r="H41" s="4" t="s">
        <v>192</v>
      </c>
      <c r="I41" s="4" t="s">
        <v>98</v>
      </c>
      <c r="J41" s="7" t="s">
        <v>21</v>
      </c>
      <c r="K41" s="4" t="s">
        <v>274</v>
      </c>
      <c r="L41" s="5" t="s">
        <v>139</v>
      </c>
      <c r="M41" s="7" t="s">
        <v>24</v>
      </c>
    </row>
    <row r="42" spans="1:13" ht="66" customHeight="1" x14ac:dyDescent="0.35">
      <c r="A42" s="3" t="s">
        <v>258</v>
      </c>
      <c r="B42" s="6">
        <v>2</v>
      </c>
      <c r="C42" s="4" t="s">
        <v>275</v>
      </c>
      <c r="D42" s="4" t="s">
        <v>276</v>
      </c>
      <c r="E42" s="7" t="s">
        <v>94</v>
      </c>
      <c r="F42" s="4" t="s">
        <v>277</v>
      </c>
      <c r="G42" s="4" t="s">
        <v>278</v>
      </c>
      <c r="H42" s="4" t="s">
        <v>279</v>
      </c>
      <c r="I42" s="4" t="s">
        <v>98</v>
      </c>
      <c r="J42" s="7" t="s">
        <v>21</v>
      </c>
      <c r="K42" s="4" t="s">
        <v>280</v>
      </c>
      <c r="L42" s="5" t="s">
        <v>177</v>
      </c>
      <c r="M42" s="7" t="s">
        <v>24</v>
      </c>
    </row>
    <row r="43" spans="1:13" ht="66" customHeight="1" x14ac:dyDescent="0.35">
      <c r="A43" s="3" t="s">
        <v>258</v>
      </c>
      <c r="B43" s="8">
        <v>3</v>
      </c>
      <c r="C43" s="4" t="s">
        <v>281</v>
      </c>
      <c r="D43" s="4" t="s">
        <v>282</v>
      </c>
      <c r="E43" s="7" t="s">
        <v>94</v>
      </c>
      <c r="F43" s="4" t="s">
        <v>283</v>
      </c>
      <c r="G43" s="4" t="s">
        <v>284</v>
      </c>
      <c r="H43" s="4" t="s">
        <v>255</v>
      </c>
      <c r="I43" s="4" t="s">
        <v>285</v>
      </c>
      <c r="J43" s="7" t="s">
        <v>21</v>
      </c>
      <c r="K43" s="4" t="s">
        <v>286</v>
      </c>
      <c r="L43" s="5" t="s">
        <v>287</v>
      </c>
      <c r="M43" s="7" t="s">
        <v>24</v>
      </c>
    </row>
    <row r="44" spans="1:13" ht="66" customHeight="1" x14ac:dyDescent="0.35">
      <c r="A44" s="3" t="s">
        <v>258</v>
      </c>
      <c r="B44" s="6">
        <v>2</v>
      </c>
      <c r="C44" s="4" t="s">
        <v>288</v>
      </c>
      <c r="D44" s="4" t="s">
        <v>289</v>
      </c>
      <c r="E44" s="7" t="s">
        <v>94</v>
      </c>
      <c r="F44" s="4" t="s">
        <v>290</v>
      </c>
      <c r="G44" s="4" t="s">
        <v>291</v>
      </c>
      <c r="H44" s="4" t="s">
        <v>292</v>
      </c>
      <c r="I44" s="4" t="s">
        <v>20</v>
      </c>
      <c r="J44" s="7" t="s">
        <v>21</v>
      </c>
      <c r="K44" s="4" t="s">
        <v>293</v>
      </c>
      <c r="L44" s="5" t="s">
        <v>32</v>
      </c>
      <c r="M44" s="7" t="s">
        <v>24</v>
      </c>
    </row>
    <row r="45" spans="1:13" ht="66" customHeight="1" x14ac:dyDescent="0.35">
      <c r="A45" s="3" t="s">
        <v>294</v>
      </c>
      <c r="B45" s="8">
        <v>3</v>
      </c>
      <c r="C45" s="4" t="s">
        <v>295</v>
      </c>
      <c r="D45" s="4" t="s">
        <v>296</v>
      </c>
      <c r="E45" s="9" t="s">
        <v>55</v>
      </c>
      <c r="F45" s="4" t="s">
        <v>297</v>
      </c>
      <c r="G45" s="4" t="s">
        <v>298</v>
      </c>
      <c r="H45" s="4" t="s">
        <v>58</v>
      </c>
      <c r="I45" s="4" t="s">
        <v>59</v>
      </c>
      <c r="J45" s="7" t="s">
        <v>30</v>
      </c>
      <c r="K45" s="4" t="s">
        <v>299</v>
      </c>
      <c r="L45" s="5" t="s">
        <v>61</v>
      </c>
      <c r="M45" s="9" t="s">
        <v>164</v>
      </c>
    </row>
    <row r="46" spans="1:13" ht="66" customHeight="1" x14ac:dyDescent="0.35">
      <c r="A46" s="3" t="s">
        <v>294</v>
      </c>
      <c r="B46" s="8">
        <v>3</v>
      </c>
      <c r="C46" s="4" t="s">
        <v>300</v>
      </c>
      <c r="D46" s="4" t="s">
        <v>301</v>
      </c>
      <c r="E46" s="9" t="s">
        <v>55</v>
      </c>
      <c r="F46" s="4" t="s">
        <v>302</v>
      </c>
      <c r="G46" s="4" t="s">
        <v>303</v>
      </c>
      <c r="H46" s="4" t="s">
        <v>304</v>
      </c>
      <c r="I46" s="4" t="s">
        <v>59</v>
      </c>
      <c r="J46" s="7" t="s">
        <v>30</v>
      </c>
      <c r="K46" s="4" t="s">
        <v>305</v>
      </c>
      <c r="L46" s="5" t="s">
        <v>61</v>
      </c>
      <c r="M46" s="9" t="s">
        <v>164</v>
      </c>
    </row>
    <row r="47" spans="1:13" ht="66" customHeight="1" x14ac:dyDescent="0.35">
      <c r="A47" s="3" t="s">
        <v>294</v>
      </c>
      <c r="B47" s="10">
        <v>1</v>
      </c>
      <c r="C47" s="4" t="s">
        <v>306</v>
      </c>
      <c r="D47" s="4" t="s">
        <v>307</v>
      </c>
      <c r="E47" s="9" t="s">
        <v>55</v>
      </c>
      <c r="F47" s="4" t="s">
        <v>308</v>
      </c>
      <c r="G47" s="4" t="s">
        <v>309</v>
      </c>
      <c r="H47" s="4" t="s">
        <v>192</v>
      </c>
      <c r="I47" s="4" t="s">
        <v>59</v>
      </c>
      <c r="J47" s="7" t="s">
        <v>30</v>
      </c>
      <c r="K47" s="4" t="s">
        <v>310</v>
      </c>
      <c r="L47" s="5" t="s">
        <v>311</v>
      </c>
      <c r="M47" s="9" t="s">
        <v>164</v>
      </c>
    </row>
    <row r="48" spans="1:13" ht="66" customHeight="1" x14ac:dyDescent="0.35">
      <c r="A48" s="3" t="s">
        <v>294</v>
      </c>
      <c r="B48" s="8">
        <v>3</v>
      </c>
      <c r="C48" s="4" t="s">
        <v>312</v>
      </c>
      <c r="D48" s="4" t="s">
        <v>313</v>
      </c>
      <c r="E48" s="7" t="s">
        <v>55</v>
      </c>
      <c r="F48" s="4" t="s">
        <v>314</v>
      </c>
      <c r="G48" s="4" t="s">
        <v>315</v>
      </c>
      <c r="H48" s="4" t="s">
        <v>255</v>
      </c>
      <c r="I48" s="4" t="s">
        <v>59</v>
      </c>
      <c r="J48" s="7" t="s">
        <v>21</v>
      </c>
      <c r="K48" s="4" t="s">
        <v>316</v>
      </c>
      <c r="L48" s="5" t="s">
        <v>139</v>
      </c>
      <c r="M48" s="7" t="s">
        <v>24</v>
      </c>
    </row>
    <row r="49" spans="1:13" ht="66" customHeight="1" x14ac:dyDescent="0.35">
      <c r="A49" s="3" t="s">
        <v>294</v>
      </c>
      <c r="B49" s="8">
        <v>3</v>
      </c>
      <c r="C49" s="4" t="s">
        <v>317</v>
      </c>
      <c r="D49" s="4" t="s">
        <v>318</v>
      </c>
      <c r="E49" s="7" t="s">
        <v>55</v>
      </c>
      <c r="F49" s="4" t="s">
        <v>319</v>
      </c>
      <c r="G49" s="4" t="s">
        <v>320</v>
      </c>
      <c r="H49" s="4" t="s">
        <v>255</v>
      </c>
      <c r="I49" s="4" t="s">
        <v>59</v>
      </c>
      <c r="J49" s="7" t="s">
        <v>21</v>
      </c>
      <c r="K49" s="4" t="s">
        <v>321</v>
      </c>
      <c r="L49" s="5" t="s">
        <v>139</v>
      </c>
      <c r="M49" s="7" t="s">
        <v>24</v>
      </c>
    </row>
    <row r="50" spans="1:13" ht="66" customHeight="1" x14ac:dyDescent="0.35">
      <c r="A50" s="3" t="s">
        <v>294</v>
      </c>
      <c r="B50" s="8">
        <v>3</v>
      </c>
      <c r="C50" s="4" t="s">
        <v>322</v>
      </c>
      <c r="D50" s="4" t="s">
        <v>323</v>
      </c>
      <c r="E50" s="7" t="s">
        <v>55</v>
      </c>
      <c r="F50" s="4" t="s">
        <v>324</v>
      </c>
      <c r="G50" s="4" t="s">
        <v>325</v>
      </c>
      <c r="H50" s="4" t="s">
        <v>192</v>
      </c>
      <c r="I50" s="4" t="s">
        <v>59</v>
      </c>
      <c r="J50" s="7" t="s">
        <v>21</v>
      </c>
      <c r="K50" s="4" t="s">
        <v>326</v>
      </c>
      <c r="L50" s="5" t="s">
        <v>139</v>
      </c>
      <c r="M50" s="7" t="s">
        <v>24</v>
      </c>
    </row>
    <row r="51" spans="1:13" ht="66" customHeight="1" x14ac:dyDescent="0.35">
      <c r="A51" s="3" t="s">
        <v>327</v>
      </c>
      <c r="B51" s="6">
        <v>2</v>
      </c>
      <c r="C51" s="4" t="s">
        <v>328</v>
      </c>
      <c r="D51" s="4" t="s">
        <v>329</v>
      </c>
      <c r="E51" s="7" t="s">
        <v>94</v>
      </c>
      <c r="F51" s="4" t="s">
        <v>330</v>
      </c>
      <c r="G51" s="4" t="s">
        <v>331</v>
      </c>
      <c r="H51" s="4" t="s">
        <v>332</v>
      </c>
      <c r="I51" s="4" t="s">
        <v>20</v>
      </c>
      <c r="J51" s="7" t="s">
        <v>21</v>
      </c>
      <c r="K51" s="4" t="s">
        <v>333</v>
      </c>
      <c r="L51" s="5" t="s">
        <v>237</v>
      </c>
      <c r="M51" s="7" t="s">
        <v>24</v>
      </c>
    </row>
    <row r="52" spans="1:13" ht="66" customHeight="1" x14ac:dyDescent="0.35">
      <c r="A52" s="3" t="s">
        <v>327</v>
      </c>
      <c r="B52" s="8">
        <v>3</v>
      </c>
      <c r="C52" s="4" t="s">
        <v>334</v>
      </c>
      <c r="D52" s="4" t="s">
        <v>335</v>
      </c>
      <c r="E52" s="7" t="s">
        <v>55</v>
      </c>
      <c r="F52" s="4" t="s">
        <v>336</v>
      </c>
      <c r="G52" s="4" t="s">
        <v>337</v>
      </c>
      <c r="H52" s="4" t="s">
        <v>338</v>
      </c>
      <c r="I52" s="4" t="s">
        <v>59</v>
      </c>
      <c r="J52" s="7" t="s">
        <v>30</v>
      </c>
      <c r="K52" s="4" t="s">
        <v>339</v>
      </c>
      <c r="L52" s="5" t="s">
        <v>340</v>
      </c>
      <c r="M52" s="7" t="s">
        <v>24</v>
      </c>
    </row>
    <row r="53" spans="1:13" ht="66" customHeight="1" x14ac:dyDescent="0.35">
      <c r="A53" s="3" t="s">
        <v>327</v>
      </c>
      <c r="B53" s="8">
        <v>3</v>
      </c>
      <c r="C53" s="4" t="s">
        <v>341</v>
      </c>
      <c r="D53" s="4" t="s">
        <v>342</v>
      </c>
      <c r="E53" s="7" t="s">
        <v>55</v>
      </c>
      <c r="F53" s="4" t="s">
        <v>343</v>
      </c>
      <c r="G53" s="4" t="s">
        <v>344</v>
      </c>
      <c r="H53" s="4" t="s">
        <v>175</v>
      </c>
      <c r="I53" s="4" t="s">
        <v>59</v>
      </c>
      <c r="J53" s="7" t="s">
        <v>30</v>
      </c>
      <c r="K53" s="4" t="s">
        <v>345</v>
      </c>
      <c r="L53" s="5" t="s">
        <v>340</v>
      </c>
      <c r="M53" s="7" t="s">
        <v>24</v>
      </c>
    </row>
    <row r="54" spans="1:13" ht="66" customHeight="1" x14ac:dyDescent="0.35">
      <c r="A54" s="3" t="s">
        <v>327</v>
      </c>
      <c r="B54" s="8">
        <v>3</v>
      </c>
      <c r="C54" s="4" t="s">
        <v>346</v>
      </c>
      <c r="D54" s="4" t="s">
        <v>347</v>
      </c>
      <c r="E54" s="7" t="s">
        <v>55</v>
      </c>
      <c r="F54" s="4" t="s">
        <v>348</v>
      </c>
      <c r="G54" s="4" t="s">
        <v>349</v>
      </c>
      <c r="H54" s="4" t="s">
        <v>192</v>
      </c>
      <c r="I54" s="4" t="s">
        <v>59</v>
      </c>
      <c r="J54" s="7" t="s">
        <v>30</v>
      </c>
      <c r="K54" s="4" t="s">
        <v>350</v>
      </c>
      <c r="L54" s="5" t="s">
        <v>351</v>
      </c>
      <c r="M54" s="7" t="s">
        <v>24</v>
      </c>
    </row>
    <row r="55" spans="1:13" ht="66" customHeight="1" x14ac:dyDescent="0.35">
      <c r="A55" s="3" t="s">
        <v>327</v>
      </c>
      <c r="B55" s="8">
        <v>3</v>
      </c>
      <c r="C55" s="4" t="s">
        <v>352</v>
      </c>
      <c r="D55" s="4" t="s">
        <v>353</v>
      </c>
      <c r="E55" s="7" t="s">
        <v>55</v>
      </c>
      <c r="F55" s="4" t="s">
        <v>354</v>
      </c>
      <c r="G55" s="4" t="s">
        <v>355</v>
      </c>
      <c r="H55" s="4" t="s">
        <v>192</v>
      </c>
      <c r="I55" s="4" t="s">
        <v>59</v>
      </c>
      <c r="J55" s="7" t="s">
        <v>30</v>
      </c>
      <c r="K55" s="4" t="s">
        <v>356</v>
      </c>
      <c r="L55" s="5" t="s">
        <v>61</v>
      </c>
      <c r="M55" s="7" t="s">
        <v>24</v>
      </c>
    </row>
    <row r="56" spans="1:13" ht="66" customHeight="1" x14ac:dyDescent="0.35">
      <c r="A56" s="3" t="s">
        <v>327</v>
      </c>
      <c r="B56" s="10">
        <v>1</v>
      </c>
      <c r="C56" s="4" t="s">
        <v>357</v>
      </c>
      <c r="D56" s="4" t="s">
        <v>358</v>
      </c>
      <c r="E56" s="7" t="s">
        <v>94</v>
      </c>
      <c r="F56" s="4" t="s">
        <v>359</v>
      </c>
      <c r="G56" s="4" t="s">
        <v>360</v>
      </c>
      <c r="H56" s="4" t="s">
        <v>255</v>
      </c>
      <c r="I56" s="4" t="s">
        <v>361</v>
      </c>
      <c r="J56" s="7" t="s">
        <v>30</v>
      </c>
      <c r="K56" s="4" t="s">
        <v>362</v>
      </c>
      <c r="L56" s="5" t="s">
        <v>363</v>
      </c>
      <c r="M56" s="7" t="s">
        <v>24</v>
      </c>
    </row>
  </sheetData>
  <autoFilter ref="A1:M56" xr:uid="{00000000-0009-0000-0000-000002000000}"/>
  <dataValidations count="1">
    <dataValidation type="list" showInputMessage="1" showErrorMessage="1" errorTitle="Fase inválida" error="Use somente 1, 2 ou 3." promptTitle="Fase" prompt="Selecione a fase metodológica." sqref="B2:B56" xr:uid="{00000000-0002-0000-0200-000000000000}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Dimensões de Critérios</vt:lpstr>
      <vt:lpstr>Critérios</vt:lpstr>
      <vt:lpstr>Matriz Crit Premissas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Critérios e Premissas PLI-SP — Fases 1, 2 e 3</dc:title>
  <dc:subject>Matriz operacional de critérios e premissas</dc:subject>
  <dc:creator>SICARD</dc:creator>
  <cp:lastModifiedBy>VINICIUS DO PRADO CAPANEMA</cp:lastModifiedBy>
  <dcterms:created xsi:type="dcterms:W3CDTF">2026-06-08T22:50:36Z</dcterms:created>
  <dcterms:modified xsi:type="dcterms:W3CDTF">2026-07-16T00:36:30Z</dcterms:modified>
</cp:coreProperties>
</file>